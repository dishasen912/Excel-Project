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2500B8E-C276-4EB0-92C3-AC59A68F4AA3}" xr6:coauthVersionLast="47" xr6:coauthVersionMax="47" xr10:uidLastSave="{00000000-0000-0000-0000-000000000000}"/>
  <bookViews>
    <workbookView xWindow="-110" yWindow="-110" windowWidth="19420" windowHeight="10300" firstSheet="1" activeTab="4" xr2:uid="{AFCC2E36-6324-4B4C-B275-DE3970D68012}"/>
  </bookViews>
  <sheets>
    <sheet name="Sheet2" sheetId="3" r:id="rId1"/>
    <sheet name="Sheet3" sheetId="4" r:id="rId2"/>
    <sheet name="Sheet4" sheetId="5" r:id="rId3"/>
    <sheet name="ROW DATA " sheetId="1" r:id="rId4"/>
    <sheet name="DASHBOARD" sheetId="2" r:id="rId5"/>
  </sheets>
  <definedNames>
    <definedName name="Slicer_Region">#N/A</definedName>
  </definedNames>
  <calcPr calcId="18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<sst xmlns="http://schemas.openxmlformats.org/spreadsheetml/2006/main" count="183" uniqueCount="108">
  <si>
    <t>Emp Code</t>
  </si>
  <si>
    <t>mum-TCL001</t>
  </si>
  <si>
    <t>mum-TCL002</t>
  </si>
  <si>
    <t>mum-TCL003</t>
  </si>
  <si>
    <t>mum-TCL004</t>
  </si>
  <si>
    <t>mum-TCL005</t>
  </si>
  <si>
    <t>mum-TCL006</t>
  </si>
  <si>
    <t>mum-TCL007</t>
  </si>
  <si>
    <t>mum-TCL008</t>
  </si>
  <si>
    <t>mum-TCL009</t>
  </si>
  <si>
    <t>mum-TCL010</t>
  </si>
  <si>
    <t>mum-TCL011</t>
  </si>
  <si>
    <t>mum-TCL012</t>
  </si>
  <si>
    <t>mum-TCL013</t>
  </si>
  <si>
    <t>mum-TCL014</t>
  </si>
  <si>
    <t>mum-TCL015</t>
  </si>
  <si>
    <t>mum-TCL016</t>
  </si>
  <si>
    <t>mum-TCL017</t>
  </si>
  <si>
    <t>mum-TCL018</t>
  </si>
  <si>
    <t>mum-TCL019</t>
  </si>
  <si>
    <t>mum-TCL020</t>
  </si>
  <si>
    <t>mum-TCL021</t>
  </si>
  <si>
    <t>mum-TCL022</t>
  </si>
  <si>
    <t>mum-TCL023</t>
  </si>
  <si>
    <t>mum-TCL024</t>
  </si>
  <si>
    <t>mum-TCL025</t>
  </si>
  <si>
    <t>mum-TCL026</t>
  </si>
  <si>
    <t>mum-TCL027</t>
  </si>
  <si>
    <t>mum-TCL028</t>
  </si>
  <si>
    <t>mum-TCL029</t>
  </si>
  <si>
    <t>mum-TCL030</t>
  </si>
  <si>
    <t>mum-TCL031</t>
  </si>
  <si>
    <t>mum-TCL032</t>
  </si>
  <si>
    <t>mum-TCL033</t>
  </si>
  <si>
    <t>mum-TCL034</t>
  </si>
  <si>
    <t>mum-TCL035</t>
  </si>
  <si>
    <t>mum-TCL036</t>
  </si>
  <si>
    <t>mum-TCL037</t>
  </si>
  <si>
    <t>mum-TCL038</t>
  </si>
  <si>
    <t>mum-TCL039</t>
  </si>
  <si>
    <t>Sales Executive</t>
  </si>
  <si>
    <t>raj varma</t>
  </si>
  <si>
    <t>tanuja kale</t>
  </si>
  <si>
    <t>arvind sharma</t>
  </si>
  <si>
    <t>tahira</t>
  </si>
  <si>
    <t>anuj sharma</t>
  </si>
  <si>
    <t>sneh khan</t>
  </si>
  <si>
    <t>tanuj raheja</t>
  </si>
  <si>
    <t>arvindra</t>
  </si>
  <si>
    <t>vijay bahadur</t>
  </si>
  <si>
    <t>piyoosh goyal</t>
  </si>
  <si>
    <t>sushma khetwaal</t>
  </si>
  <si>
    <t>sunil kumar</t>
  </si>
  <si>
    <t>ajay rajpoot</t>
  </si>
  <si>
    <t>vinay kumar</t>
  </si>
  <si>
    <t>rajesh varma</t>
  </si>
  <si>
    <t>akhil dvedi</t>
  </si>
  <si>
    <t>divyansh saksaina</t>
  </si>
  <si>
    <t>parul gosawami</t>
  </si>
  <si>
    <t>syed naved</t>
  </si>
  <si>
    <t>sunita chavala</t>
  </si>
  <si>
    <t>shivani sachan</t>
  </si>
  <si>
    <t>vanshika varma</t>
  </si>
  <si>
    <t>riya shaksaina</t>
  </si>
  <si>
    <t>priya madhur</t>
  </si>
  <si>
    <t>priyanka chopda</t>
  </si>
  <si>
    <t>prateesha</t>
  </si>
  <si>
    <t>pratibha thakur</t>
  </si>
  <si>
    <t>arvind kejrivall</t>
  </si>
  <si>
    <t>mahak thakur</t>
  </si>
  <si>
    <t>sonaram mutha</t>
  </si>
  <si>
    <t>pihu sachan</t>
  </si>
  <si>
    <t>anil kumar</t>
  </si>
  <si>
    <t>dharmendra</t>
  </si>
  <si>
    <t>vijay sachan</t>
  </si>
  <si>
    <t>shen khan</t>
  </si>
  <si>
    <t>shubhanjali jhoshi</t>
  </si>
  <si>
    <t>raj kaushik</t>
  </si>
  <si>
    <t>hema khan</t>
  </si>
  <si>
    <t>sonam thakur</t>
  </si>
  <si>
    <t>Region</t>
  </si>
  <si>
    <t>mumbai</t>
  </si>
  <si>
    <t>chenni</t>
  </si>
  <si>
    <t>delhi</t>
  </si>
  <si>
    <t>america</t>
  </si>
  <si>
    <t>bijanor</t>
  </si>
  <si>
    <t>ranchi</t>
  </si>
  <si>
    <t>surat</t>
  </si>
  <si>
    <t>nagpur</t>
  </si>
  <si>
    <t>pune</t>
  </si>
  <si>
    <t>patna</t>
  </si>
  <si>
    <t>bihar</t>
  </si>
  <si>
    <t>bijnaor</t>
  </si>
  <si>
    <t>asm</t>
  </si>
  <si>
    <t>dispur</t>
  </si>
  <si>
    <t>Day -1</t>
  </si>
  <si>
    <t>Day-2</t>
  </si>
  <si>
    <t>Day-3</t>
  </si>
  <si>
    <t>Day-4</t>
  </si>
  <si>
    <t>Day-5</t>
  </si>
  <si>
    <t>total sales</t>
  </si>
  <si>
    <t>Target</t>
  </si>
  <si>
    <t>Target HIT %</t>
  </si>
  <si>
    <t>Grand Total</t>
  </si>
  <si>
    <t>Sum of total sales</t>
  </si>
  <si>
    <t>Sum of Target HIT %</t>
  </si>
  <si>
    <t>From Target %</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</si>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</sst>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5" x14ac:knownFonts="1">
    <font>
      <sz val="11"/>
      <color theme="1"/>
      <name val="Calibri"/>
      <family val="2"/>
      <scheme val="minor"/>
    </font>
    <font>
      <sz val="11"/>
      <color theme="1"/>
      <name val="Calibri"/>
      <family val="2"/>
      <scheme val="minor"/>
    </font>
    <font>
      <sz val="8"/>
      <name val="Calibri"/>
      <family val="2"/>
      <scheme val="minor"/>
    </font>
    <font>
      <sz val="11"/>
      <color theme="5"/>
      <name val="Calibri"/>
      <family val="2"/>
      <scheme val="minor"/>
    </font>
    <font>
      <sz val="8"/>
      <color rgb="FF000000"/>
      <name val="Segoe U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10" fontId="0" fillId="0" borderId="0" xfId="1" applyNumberFormat="1" applyFont="1"/>
    <xf numFmtId="10" fontId="0" fillId="0" borderId="0" xfId="2" applyNumberFormat="1" applyFont="1"/>
    <xf numFmtId="10"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0" xfId="0" applyNumberFormat="1"/>
  </cellXfs>
  <cellStyles count="3">
    <cellStyle name="Comma" xfId="1" builtinId="3"/>
    <cellStyle name="Normal" xfId="0" builtinId="0"/>
    <cellStyle name="Percent" xfId="2" builtinId="5"/>
  </cellStyles>
  <dxfs count="54">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numFmt numFmtId="14" formatCode="0.00%"/>
    </dxf>
    <dxf>
      <numFmt numFmtId="14" formatCode="0.00%"/>
    </dxf>
    <dxf>
      <numFmt numFmtId="14" formatCode="0.00%"/>
    </dxf>
    <dxf>
      <numFmt numFmtId="14" formatCode="0.00%"/>
    </dxf>
    <dxf>
      <fill>
        <patternFill patternType="solid">
          <bgColor theme="1"/>
        </patternFill>
      </fill>
    </dxf>
    <dxf>
      <fill>
        <patternFill>
          <bgColor theme="0"/>
        </patternFill>
      </fill>
    </dxf>
    <dxf>
      <fill>
        <patternFill>
          <bgColor theme="0"/>
        </patternFill>
      </fill>
    </dxf>
    <dxf>
      <fill>
        <patternFill patternType="solid">
          <bgColor theme="1"/>
        </patternFill>
      </fill>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dashboard.xlsx]DASHBOARD!PivotTable19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073710126233142"/>
          <c:y val="0.17868692730350916"/>
          <c:w val="0.41681965047219466"/>
          <c:h val="0.66486154574214229"/>
        </c:manualLayout>
      </c:layout>
      <c:barChart>
        <c:barDir val="bar"/>
        <c:grouping val="clustered"/>
        <c:varyColors val="0"/>
        <c:ser>
          <c:idx val="0"/>
          <c:order val="0"/>
          <c:tx>
            <c:strRef>
              <c:f>DASHBOARD!$B$2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DASHBOARD!$A$3:$A$6</c:f>
              <c:strCache>
                <c:ptCount val="3"/>
                <c:pt idx="0">
                  <c:v>dharmendra</c:v>
                </c:pt>
                <c:pt idx="1">
                  <c:v>priya madhur</c:v>
                </c:pt>
                <c:pt idx="2">
                  <c:v>sunita chavala</c:v>
                </c:pt>
              </c:strCache>
            </c:strRef>
          </c:cat>
          <c:val>
            <c:numRef>
              <c:f>DASHBOARD!$B$3:$B$6</c:f>
              <c:numCache>
                <c:formatCode>General</c:formatCode>
                <c:ptCount val="3"/>
                <c:pt idx="0">
                  <c:v>389</c:v>
                </c:pt>
                <c:pt idx="1">
                  <c:v>374</c:v>
                </c:pt>
                <c:pt idx="2">
                  <c:v>489</c:v>
                </c:pt>
              </c:numCache>
            </c:numRef>
          </c:val>
          <c:extLst>
            <c:ext xmlns:c16="http://schemas.microsoft.com/office/drawing/2014/chart" uri="{C3380CC4-5D6E-409C-BE32-E72D297353CC}">
              <c16:uniqueId val="{00000000-FE4B-4959-A86E-F0DF1CCF6BAC}"/>
            </c:ext>
          </c:extLst>
        </c:ser>
        <c:dLbls>
          <c:dLblPos val="outEnd"/>
          <c:showLegendKey val="0"/>
          <c:showVal val="1"/>
          <c:showCatName val="0"/>
          <c:showSerName val="0"/>
          <c:showPercent val="0"/>
          <c:showBubbleSize val="0"/>
        </c:dLbls>
        <c:gapWidth val="182"/>
        <c:axId val="457690920"/>
        <c:axId val="457692360"/>
      </c:barChart>
      <c:catAx>
        <c:axId val="457690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92360"/>
        <c:crosses val="autoZero"/>
        <c:auto val="1"/>
        <c:lblAlgn val="ctr"/>
        <c:lblOffset val="100"/>
        <c:noMultiLvlLbl val="0"/>
      </c:catAx>
      <c:valAx>
        <c:axId val="457692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90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dashboard.xlsx]DASHBOARD!PivotTable21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50-4DB0-9E44-2DA1B60818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50-4DB0-9E44-2DA1B60818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50-4DB0-9E44-2DA1B60818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450-4DB0-9E44-2DA1B60818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450-4DB0-9E44-2DA1B60818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DASHBOARD!$G$3:$G$6</c:f>
              <c:strCache>
                <c:ptCount val="3"/>
                <c:pt idx="0">
                  <c:v>dharmendra</c:v>
                </c:pt>
                <c:pt idx="1">
                  <c:v>priya madhur</c:v>
                </c:pt>
                <c:pt idx="2">
                  <c:v>sunita chavala</c:v>
                </c:pt>
              </c:strCache>
            </c:strRef>
          </c:cat>
          <c:val>
            <c:numRef>
              <c:f>DASHBOARD!$H$3:$H$6</c:f>
              <c:numCache>
                <c:formatCode>0.00%</c:formatCode>
                <c:ptCount val="3"/>
                <c:pt idx="0">
                  <c:v>0.45779999999999998</c:v>
                </c:pt>
                <c:pt idx="1">
                  <c:v>0.43340000000000001</c:v>
                </c:pt>
                <c:pt idx="2">
                  <c:v>0.76900000000000002</c:v>
                </c:pt>
              </c:numCache>
            </c:numRef>
          </c:val>
          <c:extLst>
            <c:ext xmlns:c16="http://schemas.microsoft.com/office/drawing/2014/chart" uri="{C3380CC4-5D6E-409C-BE32-E72D297353CC}">
              <c16:uniqueId val="{00000000-4AD5-4034-A52D-DC4859A78448}"/>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dashboard.xlsx]DASHBOARD!PivotTable22</c:name>
    <c:fmtId val="0"/>
  </c:pivotSource>
  <c:chart>
    <c:autoTitleDeleted val="1"/>
    <c:pivotFmts>
      <c:pivotFmt>
        <c:idx val="0"/>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0044005816326"/>
          <c:y val="0.13308012610500405"/>
          <c:w val="0.78692960621138308"/>
          <c:h val="0.51090005089075075"/>
        </c:manualLayout>
      </c:layout>
      <c:lineChart>
        <c:grouping val="standard"/>
        <c:varyColors val="0"/>
        <c:ser>
          <c:idx val="0"/>
          <c:order val="0"/>
          <c:tx>
            <c:strRef>
              <c:f>DASHBOARD!$K$2</c:f>
              <c:strCache>
                <c:ptCount val="1"/>
                <c:pt idx="0">
                  <c:v>Total</c:v>
                </c:pt>
              </c:strCache>
            </c:strRef>
          </c:tx>
          <c:spPr>
            <a:ln w="28575" cap="rnd">
              <a:solidFill>
                <a:schemeClr val="accent1"/>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DASHBOARD!$J$3:$J$6</c:f>
              <c:strCache>
                <c:ptCount val="3"/>
                <c:pt idx="0">
                  <c:v>dharmendra</c:v>
                </c:pt>
                <c:pt idx="1">
                  <c:v>priya madhur</c:v>
                </c:pt>
                <c:pt idx="2">
                  <c:v>sunita chavala</c:v>
                </c:pt>
              </c:strCache>
            </c:strRef>
          </c:cat>
          <c:val>
            <c:numRef>
              <c:f>DASHBOARD!$K$3:$K$6</c:f>
              <c:numCache>
                <c:formatCode>0.00%</c:formatCode>
                <c:ptCount val="3"/>
                <c:pt idx="0">
                  <c:v>0.23319999999999999</c:v>
                </c:pt>
                <c:pt idx="1">
                  <c:v>0.38400000000000001</c:v>
                </c:pt>
                <c:pt idx="2">
                  <c:v>0.31209999999999999</c:v>
                </c:pt>
              </c:numCache>
            </c:numRef>
          </c:val>
          <c:smooth val="0"/>
          <c:extLst>
            <c:ext xmlns:c16="http://schemas.microsoft.com/office/drawing/2014/chart" uri="{C3380CC4-5D6E-409C-BE32-E72D297353CC}">
              <c16:uniqueId val="{00000000-A1B5-42CA-A4B8-C72612D42CA3}"/>
            </c:ext>
          </c:extLst>
        </c:ser>
        <c:dLbls>
          <c:dLblPos val="t"/>
          <c:showLegendKey val="0"/>
          <c:showVal val="1"/>
          <c:showCatName val="0"/>
          <c:showSerName val="0"/>
          <c:showPercent val="0"/>
          <c:showBubbleSize val="0"/>
        </c:dLbls>
        <c:smooth val="0"/>
        <c:axId val="625543384"/>
        <c:axId val="625544824"/>
      </c:lineChart>
      <c:catAx>
        <c:axId val="625543384"/>
        <c:scaling>
          <c:orientation val="minMax"/>
        </c:scaling>
        <c:delete val="1"/>
        <c:axPos val="b"/>
        <c:numFmt formatCode="General" sourceLinked="1"/>
        <c:majorTickMark val="out"/>
        <c:minorTickMark val="none"/>
        <c:tickLblPos val="nextTo"/>
        <c:crossAx val="625544824"/>
        <c:crosses val="autoZero"/>
        <c:auto val="1"/>
        <c:lblAlgn val="ctr"/>
        <c:lblOffset val="100"/>
        <c:noMultiLvlLbl val="0"/>
      </c:catAx>
      <c:valAx>
        <c:axId val="625544824"/>
        <c:scaling>
          <c:orientation val="minMax"/>
        </c:scaling>
        <c:delete val="1"/>
        <c:axPos val="l"/>
        <c:numFmt formatCode="0.00%" sourceLinked="1"/>
        <c:majorTickMark val="out"/>
        <c:minorTickMark val="none"/>
        <c:tickLblPos val="nextTo"/>
        <c:crossAx val="625543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12958</xdr:rowOff>
    </xdr:from>
    <xdr:to>
      <xdr:col>3</xdr:col>
      <xdr:colOff>907142</xdr:colOff>
      <xdr:row>18</xdr:row>
      <xdr:rowOff>62721</xdr:rowOff>
    </xdr:to>
    <xdr:graphicFrame macro="">
      <xdr:nvGraphicFramePr>
        <xdr:cNvPr id="2" name="Chart 1">
          <a:extLst>
            <a:ext uri="{FF2B5EF4-FFF2-40B4-BE49-F238E27FC236}">
              <a16:creationId xmlns:a16="http://schemas.microsoft.com/office/drawing/2014/main" id="{83F13E8A-389E-3583-1045-5FE2A8DA7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1021832</xdr:colOff>
      <xdr:row>7</xdr:row>
      <xdr:rowOff>45358</xdr:rowOff>
    </xdr:from>
    <xdr:to>
      <xdr:col>7</xdr:col>
      <xdr:colOff>149030</xdr:colOff>
      <xdr:row>19</xdr:row>
      <xdr:rowOff>179355</xdr:rowOff>
    </xdr:to>
    <xdr:graphicFrame macro="">
      <xdr:nvGraphicFramePr>
        <xdr:cNvPr id="3" name="Chart 2">
          <a:extLst>
            <a:ext uri="{FF2B5EF4-FFF2-40B4-BE49-F238E27FC236}">
              <a16:creationId xmlns:a16="http://schemas.microsoft.com/office/drawing/2014/main" id="{D860CE24-D5E0-AD58-46F0-F4DFE6808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272144</xdr:colOff>
      <xdr:row>7</xdr:row>
      <xdr:rowOff>58316</xdr:rowOff>
    </xdr:from>
    <xdr:to>
      <xdr:col>11</xdr:col>
      <xdr:colOff>12960</xdr:colOff>
      <xdr:row>21</xdr:row>
      <xdr:rowOff>140477</xdr:rowOff>
    </xdr:to>
    <xdr:graphicFrame macro="">
      <xdr:nvGraphicFramePr>
        <xdr:cNvPr id="4" name="Chart 3">
          <a:extLst>
            <a:ext uri="{FF2B5EF4-FFF2-40B4-BE49-F238E27FC236}">
              <a16:creationId xmlns:a16="http://schemas.microsoft.com/office/drawing/2014/main" id="{1C2C8EED-F7E7-3907-FFCE-A20BB7AE7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152921</xdr:colOff>
      <xdr:row>0</xdr:row>
      <xdr:rowOff>6481</xdr:rowOff>
    </xdr:from>
    <xdr:to>
      <xdr:col>11</xdr:col>
      <xdr:colOff>32398</xdr:colOff>
      <xdr:row>0</xdr:row>
      <xdr:rowOff>557246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1EE1C29-71CA-673C-9A88-0659E0D536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921" y="6481"/>
              <a:ext cx="10933661" cy="550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1028700</xdr:colOff>
          <xdr:row>0</xdr:row>
          <xdr:rowOff>222250</xdr:rowOff>
        </xdr:from>
        <xdr:to>
          <xdr:col>1</xdr:col>
          <xdr:colOff>444500</xdr:colOff>
          <xdr:row>0</xdr:row>
          <xdr:rowOff>431800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xdr:twoCellAnchor>
    <xdr:from>
      <xdr:col>0</xdr:col>
      <xdr:colOff>77757</xdr:colOff>
      <xdr:row>0</xdr:row>
      <xdr:rowOff>291581</xdr:rowOff>
    </xdr:from>
    <xdr:to>
      <xdr:col>1</xdr:col>
      <xdr:colOff>77754</xdr:colOff>
      <xdr:row>0</xdr:row>
      <xdr:rowOff>647959</xdr:rowOff>
    </xdr:to>
    <xdr:sp macro="" textlink="">
      <xdr:nvSpPr>
        <xdr:cNvPr id="10" name="Flowchart: Process 9">
          <a:extLst>
            <a:ext uri="{FF2B5EF4-FFF2-40B4-BE49-F238E27FC236}">
              <a16:creationId xmlns:a16="http://schemas.microsoft.com/office/drawing/2014/main" id="{20CBDE18-7201-B22C-FBB1-87DF0C3F1044}"/>
            </a:ext>
          </a:extLst>
        </xdr:cNvPr>
        <xdr:cNvSpPr/>
      </xdr:nvSpPr>
      <xdr:spPr>
        <a:xfrm>
          <a:off x="77757" y="291581"/>
          <a:ext cx="1334793" cy="356378"/>
        </a:xfrm>
        <a:prstGeom prst="flowChart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260350</xdr:colOff>
          <xdr:row>0</xdr:row>
          <xdr:rowOff>209550</xdr:rowOff>
        </xdr:from>
        <xdr:to>
          <xdr:col>1</xdr:col>
          <xdr:colOff>228600</xdr:colOff>
          <xdr:row>0</xdr:row>
          <xdr:rowOff>584200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4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xdr:twoCellAnchor>
    <xdr:from>
      <xdr:col>6</xdr:col>
      <xdr:colOff>298319</xdr:colOff>
      <xdr:row>0</xdr:row>
      <xdr:rowOff>537805</xdr:rowOff>
    </xdr:from>
    <xdr:to>
      <xdr:col>7</xdr:col>
      <xdr:colOff>991377</xdr:colOff>
      <xdr:row>0</xdr:row>
      <xdr:rowOff>794336</xdr:rowOff>
    </xdr:to>
    <xdr:sp macro="" textlink="">
      <xdr:nvSpPr>
        <xdr:cNvPr id="14" name="Flowchart: Process 13">
          <a:extLst>
            <a:ext uri="{FF2B5EF4-FFF2-40B4-BE49-F238E27FC236}">
              <a16:creationId xmlns:a16="http://schemas.microsoft.com/office/drawing/2014/main" id="{31669292-E742-4515-91B9-EF667552F960}"/>
            </a:ext>
          </a:extLst>
        </xdr:cNvPr>
        <xdr:cNvSpPr/>
      </xdr:nvSpPr>
      <xdr:spPr>
        <a:xfrm>
          <a:off x="5980921" y="537805"/>
          <a:ext cx="1807548" cy="256531"/>
        </a:xfrm>
        <a:prstGeom prst="flowChart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3</a:t>
          </a:r>
          <a:endParaRPr lang="en-US" sz="1100">
            <a:solidFill>
              <a:schemeClr val="tx1"/>
            </a:solidFill>
          </a:endParaRPr>
        </a:p>
      </xdr:txBody>
    </xdr:sp>
    <xdr:clientData/>
  </xdr:twoCellAnchor>
  <xdr:twoCellAnchor>
    <xdr:from>
      <xdr:col>9</xdr:col>
      <xdr:colOff>509035</xdr:colOff>
      <xdr:row>0</xdr:row>
      <xdr:rowOff>550765</xdr:rowOff>
    </xdr:from>
    <xdr:to>
      <xdr:col>10</xdr:col>
      <xdr:colOff>1114490</xdr:colOff>
      <xdr:row>0</xdr:row>
      <xdr:rowOff>790510</xdr:rowOff>
    </xdr:to>
    <xdr:sp macro="" textlink="">
      <xdr:nvSpPr>
        <xdr:cNvPr id="22" name="Flowchart: Process 21">
          <a:extLst>
            <a:ext uri="{FF2B5EF4-FFF2-40B4-BE49-F238E27FC236}">
              <a16:creationId xmlns:a16="http://schemas.microsoft.com/office/drawing/2014/main" id="{1AE0D2A3-05C8-44A9-9734-82376E5F2957}"/>
            </a:ext>
          </a:extLst>
        </xdr:cNvPr>
        <xdr:cNvSpPr/>
      </xdr:nvSpPr>
      <xdr:spPr>
        <a:xfrm>
          <a:off x="8712198" y="550765"/>
          <a:ext cx="1719945" cy="239745"/>
        </a:xfrm>
        <a:prstGeom prst="flowChart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solidFill>
                <a:schemeClr val="tx1"/>
              </a:solidFill>
            </a:rPr>
            <a:t>Dashboard</a:t>
          </a:r>
          <a:r>
            <a:rPr lang="en-US" sz="1100" baseline="0">
              <a:solidFill>
                <a:schemeClr val="tx1"/>
              </a:solidFill>
            </a:rPr>
            <a:t> 4</a:t>
          </a:r>
          <a:endParaRPr lang="en-US" sz="11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603250</xdr:colOff>
          <xdr:row>0</xdr:row>
          <xdr:rowOff>571500</xdr:rowOff>
        </xdr:from>
        <xdr:to>
          <xdr:col>4</xdr:col>
          <xdr:colOff>177800</xdr:colOff>
          <xdr:row>0</xdr:row>
          <xdr:rowOff>781050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4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Check Box 3</a:t>
              </a:r>
            </a:p>
          </xdr:txBody>
        </xdr:sp>
        <xdr:clientData/>
      </xdr:twoCellAnchor>
    </mc:Choice>
    <mc:Fallback/>
  </mc:AlternateContent>
  <xdr:twoCellAnchor>
    <xdr:from>
      <xdr:col>3</xdr:col>
      <xdr:colOff>256331</xdr:colOff>
      <xdr:row>0</xdr:row>
      <xdr:rowOff>547654</xdr:rowOff>
    </xdr:from>
    <xdr:to>
      <xdr:col>4</xdr:col>
      <xdr:colOff>884594</xdr:colOff>
      <xdr:row>0</xdr:row>
      <xdr:rowOff>804185</xdr:rowOff>
    </xdr:to>
    <xdr:sp macro="" textlink="">
      <xdr:nvSpPr>
        <xdr:cNvPr id="25" name="Flowchart: Process 24">
          <a:extLst>
            <a:ext uri="{FF2B5EF4-FFF2-40B4-BE49-F238E27FC236}">
              <a16:creationId xmlns:a16="http://schemas.microsoft.com/office/drawing/2014/main" id="{202A1410-566D-4947-94FF-CB32FAC6EBBA}"/>
            </a:ext>
          </a:extLst>
        </xdr:cNvPr>
        <xdr:cNvSpPr/>
      </xdr:nvSpPr>
      <xdr:spPr>
        <a:xfrm>
          <a:off x="3185107" y="547654"/>
          <a:ext cx="1807548" cy="256531"/>
        </a:xfrm>
        <a:prstGeom prst="flowChart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2</a:t>
          </a:r>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1.098518402781" createdVersion="8" refreshedVersion="8" minRefreshableVersion="3" recordCount="39" xr:uid="{E47B1A76-6354-4C47-B9A6-86F7B4EAE728}">
  <cacheSource type="worksheet">
    <worksheetSource ref="A1:L40" sheet="ROW DATA "/>
  </cacheSource>
  <cacheFields count="12">
    <cacheField name="Emp Code" numFmtId="0">
      <sharedItems/>
    </cacheField>
    <cacheField name="Sales Executive" numFmtId="0">
      <sharedItems count="39">
        <s v="raj varma"/>
        <s v="tanuja kale"/>
        <s v="arvind sharma"/>
        <s v="tahira"/>
        <s v="anuj sharma"/>
        <s v="sneh khan"/>
        <s v="tanuj raheja"/>
        <s v="arvindra"/>
        <s v="vijay bahadur"/>
        <s v="piyoosh goyal"/>
        <s v="sushma khetwaal"/>
        <s v="sunil kumar"/>
        <s v="ajay rajpoot"/>
        <s v="vinay kumar"/>
        <s v="rajesh varma"/>
        <s v="akhil dvedi"/>
        <s v="divyansh saksaina"/>
        <s v="parul gosawami"/>
        <s v="syed naved"/>
        <s v="sunita chavala"/>
        <s v="shivani sachan"/>
        <s v="vanshika varma"/>
        <s v="riya shaksaina"/>
        <s v="priya madhur"/>
        <s v="priyanka chopda"/>
        <s v="prateesha"/>
        <s v="pratibha thakur"/>
        <s v="arvind kejrivall"/>
        <s v="mahak thakur"/>
        <s v="sonaram mutha"/>
        <s v="pihu sachan"/>
        <s v="anil kumar"/>
        <s v="dharmendra"/>
        <s v="vijay sachan"/>
        <s v="shen khan"/>
        <s v="shubhanjali jhoshi"/>
        <s v="raj kaushik"/>
        <s v="hema khan"/>
        <s v="sonam thakur"/>
      </sharedItems>
    </cacheField>
    <cacheField name="Region" numFmtId="0">
      <sharedItems count="14">
        <s v="mumbai"/>
        <s v="chenni"/>
        <s v="delhi"/>
        <s v="america"/>
        <s v="bijanor"/>
        <s v="ranchi"/>
        <s v="surat"/>
        <s v="nagpur"/>
        <s v="pune"/>
        <s v="patna"/>
        <s v="bihar"/>
        <s v="bijnaor"/>
        <s v="asm"/>
        <s v="dispur"/>
      </sharedItems>
    </cacheField>
    <cacheField name="Day -1" numFmtId="0">
      <sharedItems containsSemiMixedTypes="0" containsString="0" containsNumber="1" containsInteger="1" minValue="25" maxValue="98"/>
    </cacheField>
    <cacheField name="Day-2" numFmtId="0">
      <sharedItems containsSemiMixedTypes="0" containsString="0" containsNumber="1" containsInteger="1" minValue="24" maxValue="98"/>
    </cacheField>
    <cacheField name="Day-3" numFmtId="0">
      <sharedItems containsSemiMixedTypes="0" containsString="0" containsNumber="1" containsInteger="1" minValue="20" maxValue="98"/>
    </cacheField>
    <cacheField name="Day-4" numFmtId="0">
      <sharedItems containsSemiMixedTypes="0" containsString="0" containsNumber="1" containsInteger="1" minValue="23" maxValue="98"/>
    </cacheField>
    <cacheField name="Day-5" numFmtId="0">
      <sharedItems containsSemiMixedTypes="0" containsString="0" containsNumber="1" containsInteger="1" minValue="25" maxValue="90"/>
    </cacheField>
    <cacheField name="total sales" numFmtId="0">
      <sharedItems containsSemiMixedTypes="0" containsString="0" containsNumber="1" containsInteger="1" minValue="200" maxValue="940"/>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0780000000000001" maxValue="0.997"/>
    </cacheField>
    <cacheField name="Away From Target %" numFmtId="0">
      <sharedItems containsString="0" containsBlank="1" containsNumber="1" minValue="0.21210000000000001" maxValue="0.90890000000000004"/>
    </cacheField>
  </cacheFields>
  <extLst>
    <ext xmlns:x14="http://schemas.microsoft.com/office/spreadsheetml/2009/9/main" uri="{725AE2AE-9491-48be-B2B4-4EB974FC3084}">
      <x14:pivotCacheDefinition pivotCacheId="416412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s v="mum-TCL001"/>
    <x v="0"/>
    <x v="0"/>
    <n v="56"/>
    <n v="67"/>
    <n v="46"/>
    <n v="78"/>
    <n v="63"/>
    <n v="636"/>
    <n v="500"/>
    <n v="0.56379999999999997"/>
    <n v="0.74219999999999997"/>
  </r>
  <r>
    <s v="mum-TCL002"/>
    <x v="1"/>
    <x v="1"/>
    <n v="32"/>
    <n v="54"/>
    <n v="36"/>
    <n v="47"/>
    <n v="46"/>
    <n v="366"/>
    <n v="500"/>
    <n v="0.67359999999999998"/>
    <n v="0.90890000000000004"/>
  </r>
  <r>
    <s v="mum-TCL003"/>
    <x v="2"/>
    <x v="2"/>
    <n v="63"/>
    <n v="67"/>
    <n v="37"/>
    <n v="38"/>
    <n v="47"/>
    <n v="256"/>
    <n v="500"/>
    <n v="0.33889999999999998"/>
    <n v="0.90800000000000003"/>
  </r>
  <r>
    <s v="mum-TCL004"/>
    <x v="3"/>
    <x v="3"/>
    <n v="76"/>
    <n v="78"/>
    <n v="89"/>
    <n v="28"/>
    <n v="37"/>
    <n v="376"/>
    <n v="500"/>
    <n v="0.67889999999999995"/>
    <n v="0.54559999999999997"/>
  </r>
  <r>
    <s v="mum-TCL005"/>
    <x v="4"/>
    <x v="1"/>
    <n v="56"/>
    <n v="98"/>
    <n v="90"/>
    <n v="38"/>
    <n v="89"/>
    <n v="288"/>
    <n v="500"/>
    <n v="0.20780000000000001"/>
    <n v="0.32400000000000001"/>
  </r>
  <r>
    <s v="mum-TCL006"/>
    <x v="5"/>
    <x v="4"/>
    <n v="89"/>
    <n v="80"/>
    <n v="80"/>
    <n v="89"/>
    <n v="78"/>
    <n v="373"/>
    <n v="500"/>
    <n v="0.214"/>
    <n v="0.6623"/>
  </r>
  <r>
    <s v="mum-TCL007"/>
    <x v="6"/>
    <x v="5"/>
    <n v="34"/>
    <n v="77"/>
    <n v="97"/>
    <n v="90"/>
    <n v="90"/>
    <n v="277"/>
    <n v="500"/>
    <n v="0.4556"/>
    <n v="0.33329999999999999"/>
  </r>
  <r>
    <s v="mum-TCL008"/>
    <x v="7"/>
    <x v="6"/>
    <n v="67"/>
    <n v="45"/>
    <n v="98"/>
    <n v="80"/>
    <n v="65"/>
    <n v="288"/>
    <n v="500"/>
    <n v="0.36470000000000002"/>
    <n v="0.21210000000000001"/>
  </r>
  <r>
    <s v="mum-TCL009"/>
    <x v="8"/>
    <x v="7"/>
    <n v="87"/>
    <n v="35"/>
    <n v="78"/>
    <n v="34"/>
    <n v="67"/>
    <n v="292"/>
    <n v="500"/>
    <n v="0.78649999999999998"/>
    <n v="0.4456"/>
  </r>
  <r>
    <s v="mum-TCL010"/>
    <x v="9"/>
    <x v="8"/>
    <n v="98"/>
    <n v="67"/>
    <n v="76"/>
    <n v="54"/>
    <n v="78"/>
    <n v="377"/>
    <n v="500"/>
    <n v="0.66669999999999996"/>
    <n v="0.87670000000000003"/>
  </r>
  <r>
    <s v="mum-TCL011"/>
    <x v="10"/>
    <x v="9"/>
    <n v="78"/>
    <n v="65"/>
    <n v="85"/>
    <n v="56"/>
    <n v="35"/>
    <n v="485"/>
    <n v="500"/>
    <n v="0.98599999999999999"/>
    <n v="0.48649999999999999"/>
  </r>
  <r>
    <s v="mum-TCL012"/>
    <x v="11"/>
    <x v="10"/>
    <n v="67"/>
    <n v="64"/>
    <n v="94"/>
    <n v="76"/>
    <n v="25"/>
    <n v="477"/>
    <n v="500"/>
    <n v="0.39400000000000002"/>
    <n v="0.56889999999999996"/>
  </r>
  <r>
    <s v="mum-TCL013"/>
    <x v="12"/>
    <x v="7"/>
    <n v="54"/>
    <n v="36"/>
    <n v="83"/>
    <n v="78"/>
    <n v="36"/>
    <n v="389"/>
    <n v="500"/>
    <n v="0.44700000000000001"/>
    <n v="0.45540000000000003"/>
  </r>
  <r>
    <s v="mum-TCL014"/>
    <x v="13"/>
    <x v="1"/>
    <n v="25"/>
    <n v="76"/>
    <n v="82"/>
    <n v="76"/>
    <n v="76"/>
    <n v="477"/>
    <n v="500"/>
    <n v="0.80879999999999996"/>
    <n v="0.78879999999999995"/>
  </r>
  <r>
    <s v="mum-TCL015"/>
    <x v="14"/>
    <x v="0"/>
    <n v="26"/>
    <n v="52"/>
    <n v="36"/>
    <n v="54"/>
    <n v="67"/>
    <n v="366"/>
    <n v="500"/>
    <n v="0.34789999999999999"/>
    <n v="0.32340000000000002"/>
  </r>
  <r>
    <s v="mum-TCL016"/>
    <x v="15"/>
    <x v="3"/>
    <n v="75"/>
    <n v="39"/>
    <n v="46"/>
    <n v="23"/>
    <n v="78"/>
    <n v="488"/>
    <n v="500"/>
    <n v="0.33310000000000001"/>
    <n v="0.90500000000000003"/>
  </r>
  <r>
    <s v="mum-TCL017"/>
    <x v="16"/>
    <x v="9"/>
    <n v="74"/>
    <n v="40"/>
    <n v="78"/>
    <n v="34"/>
    <n v="87"/>
    <n v="390"/>
    <n v="500"/>
    <n v="0.997"/>
    <n v="0.67889999999999995"/>
  </r>
  <r>
    <s v="mum-TCL018"/>
    <x v="17"/>
    <x v="2"/>
    <n v="73"/>
    <n v="29"/>
    <n v="65"/>
    <n v="54"/>
    <n v="65"/>
    <n v="278"/>
    <n v="500"/>
    <n v="0.69799999999999995"/>
    <n v="0.90539999999999998"/>
  </r>
  <r>
    <s v="mum-TCL019"/>
    <x v="18"/>
    <x v="3"/>
    <n v="32"/>
    <n v="28"/>
    <n v="48"/>
    <n v="65"/>
    <n v="55"/>
    <n v="478"/>
    <n v="500"/>
    <n v="0.67800000000000005"/>
    <n v="0.33439999999999998"/>
  </r>
  <r>
    <s v="mum-TCL020"/>
    <x v="19"/>
    <x v="11"/>
    <n v="35"/>
    <n v="27"/>
    <n v="49"/>
    <n v="56"/>
    <n v="45"/>
    <n v="489"/>
    <n v="500"/>
    <n v="0.76900000000000002"/>
    <n v="0.31209999999999999"/>
  </r>
  <r>
    <s v="mum-TCL021"/>
    <x v="20"/>
    <x v="12"/>
    <n v="65"/>
    <n v="39"/>
    <n v="30"/>
    <n v="76"/>
    <n v="54"/>
    <n v="378"/>
    <n v="500"/>
    <n v="0.32329999999999998"/>
    <n v="0.34320000000000001"/>
  </r>
  <r>
    <s v="mum-TCL022"/>
    <x v="21"/>
    <x v="13"/>
    <n v="40"/>
    <n v="40"/>
    <n v="20"/>
    <n v="67"/>
    <n v="36"/>
    <n v="389"/>
    <n v="500"/>
    <n v="0.90780000000000005"/>
    <n v="0.43430000000000002"/>
  </r>
  <r>
    <s v="mum-TCL023"/>
    <x v="22"/>
    <x v="0"/>
    <n v="44"/>
    <n v="50"/>
    <n v="36"/>
    <n v="89"/>
    <n v="78"/>
    <n v="289"/>
    <n v="500"/>
    <n v="0.98670000000000002"/>
    <n v="0.32800000000000001"/>
  </r>
  <r>
    <s v="mum-TCL024"/>
    <x v="23"/>
    <x v="11"/>
    <n v="28"/>
    <n v="66"/>
    <n v="67"/>
    <n v="98"/>
    <n v="38"/>
    <n v="374"/>
    <n v="500"/>
    <n v="0.43340000000000001"/>
    <n v="0.38400000000000001"/>
  </r>
  <r>
    <s v="mum-TCL025"/>
    <x v="24"/>
    <x v="10"/>
    <n v="53"/>
    <n v="78"/>
    <n v="87"/>
    <n v="97"/>
    <n v="28"/>
    <n v="367"/>
    <n v="500"/>
    <n v="0.2223"/>
    <n v="0.60650000000000004"/>
  </r>
  <r>
    <s v="mum-TCL026"/>
    <x v="25"/>
    <x v="7"/>
    <n v="63"/>
    <n v="98"/>
    <n v="34"/>
    <n v="76"/>
    <n v="39"/>
    <n v="488"/>
    <n v="500"/>
    <n v="0.44669999999999999"/>
    <n v="0.89800000000000002"/>
  </r>
  <r>
    <s v="mum-TCL027"/>
    <x v="26"/>
    <x v="9"/>
    <n v="44"/>
    <n v="78"/>
    <n v="55"/>
    <n v="45"/>
    <n v="26"/>
    <n v="393"/>
    <n v="500"/>
    <n v="0.67759999999999998"/>
    <n v="0.434"/>
  </r>
  <r>
    <s v="mum-TCL028"/>
    <x v="27"/>
    <x v="1"/>
    <n v="64"/>
    <n v="76"/>
    <n v="66"/>
    <n v="54"/>
    <n v="36"/>
    <n v="940"/>
    <n v="500"/>
    <n v="0.65769999999999995"/>
    <n v="0.44230000000000003"/>
  </r>
  <r>
    <s v="mum-TCL029"/>
    <x v="28"/>
    <x v="7"/>
    <n v="65"/>
    <n v="56"/>
    <n v="77"/>
    <n v="35"/>
    <n v="46"/>
    <n v="377"/>
    <n v="500"/>
    <n v="0.67669999999999997"/>
    <n v="0.80649999999999999"/>
  </r>
  <r>
    <s v="mum-TCL030"/>
    <x v="29"/>
    <x v="3"/>
    <n v="67"/>
    <n v="78"/>
    <n v="87"/>
    <n v="55"/>
    <n v="47"/>
    <n v="388"/>
    <n v="500"/>
    <n v="0.34560000000000002"/>
    <n v="0.89539999999999997"/>
  </r>
  <r>
    <s v="mum-TCL031"/>
    <x v="30"/>
    <x v="9"/>
    <n v="76"/>
    <n v="60"/>
    <n v="78"/>
    <n v="66"/>
    <n v="89"/>
    <n v="299"/>
    <n v="500"/>
    <n v="0.56540000000000001"/>
    <n v="0.90649999999999997"/>
  </r>
  <r>
    <s v="mum-TCL032"/>
    <x v="31"/>
    <x v="3"/>
    <n v="54"/>
    <n v="80"/>
    <n v="35"/>
    <n v="77"/>
    <n v="60"/>
    <n v="267"/>
    <n v="500"/>
    <n v="0.67779999999999996"/>
    <n v="0.32690000000000002"/>
  </r>
  <r>
    <s v="mum-TCL033"/>
    <x v="32"/>
    <x v="11"/>
    <n v="30"/>
    <n v="88"/>
    <n v="45"/>
    <n v="35"/>
    <n v="50"/>
    <n v="389"/>
    <n v="500"/>
    <n v="0.45779999999999998"/>
    <n v="0.23319999999999999"/>
  </r>
  <r>
    <s v="mum-TCL034"/>
    <x v="33"/>
    <x v="0"/>
    <n v="40"/>
    <n v="78"/>
    <n v="46"/>
    <n v="67"/>
    <n v="55"/>
    <n v="499"/>
    <n v="500"/>
    <n v="0.90800000000000003"/>
    <n v="0.45789999999999997"/>
  </r>
  <r>
    <s v="mum-TCL035"/>
    <x v="34"/>
    <x v="7"/>
    <n v="60"/>
    <n v="87"/>
    <n v="47"/>
    <n v="87"/>
    <n v="88"/>
    <n v="390"/>
    <n v="500"/>
    <n v="0.44669999999999999"/>
    <n v="0.67200000000000004"/>
  </r>
  <r>
    <s v="mum-TCL036"/>
    <x v="35"/>
    <x v="8"/>
    <n v="55"/>
    <n v="67"/>
    <n v="28"/>
    <n v="67"/>
    <n v="67"/>
    <n v="200"/>
    <n v="500"/>
    <n v="0.78779999999999994"/>
    <n v="0.434"/>
  </r>
  <r>
    <s v="mum-TCL037"/>
    <x v="36"/>
    <x v="5"/>
    <n v="77"/>
    <n v="76"/>
    <n v="38"/>
    <n v="66"/>
    <n v="76"/>
    <n v="367"/>
    <n v="500"/>
    <n v="0.88770000000000004"/>
    <n v="0.32200000000000001"/>
  </r>
  <r>
    <s v="mum-TCL038"/>
    <x v="37"/>
    <x v="6"/>
    <n v="50"/>
    <n v="89"/>
    <n v="49"/>
    <n v="39"/>
    <n v="75"/>
    <n v="266"/>
    <n v="500"/>
    <n v="0.43340000000000001"/>
    <n v="0.33200000000000002"/>
  </r>
  <r>
    <s v="mum-TCL039"/>
    <x v="38"/>
    <x v="7"/>
    <n v="78"/>
    <n v="24"/>
    <n v="46"/>
    <n v="58"/>
    <n v="57"/>
    <n v="378"/>
    <n v="500"/>
    <n v="0.7710000000000000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11085-6B4F-4B97-B35B-1DE2C91BB22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7"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dataField="1" showAll="0"/>
    <pivotField showAll="0"/>
    <pivotField numFmtId="10" showAll="0"/>
    <pivotField showAll="0"/>
  </pivotFields>
  <rowFields count="1">
    <field x="1"/>
  </rowFields>
  <rowItems count="4">
    <i>
      <x v="7"/>
    </i>
    <i>
      <x v="16"/>
    </i>
    <i>
      <x v="29"/>
    </i>
    <i t="grand">
      <x/>
    </i>
  </rowItems>
  <colItems count="1">
    <i/>
  </colItems>
  <dataFields count="1">
    <dataField name="Sum of total sales" fld="8" baseField="0" baseItem="0"/>
  </dataFields>
  <pivotTableStyleInfo name="PivotStyleMedium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C6D1C-996B-42CB-BA37-60610522BB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Executive">
  <location ref="A3:B7"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dataField="1" showAll="0"/>
    <pivotField showAll="0"/>
    <pivotField numFmtId="10" showAll="0"/>
    <pivotField showAll="0"/>
  </pivotFields>
  <rowFields count="1">
    <field x="1"/>
  </rowFields>
  <rowItems count="4">
    <i>
      <x v="7"/>
    </i>
    <i>
      <x v="16"/>
    </i>
    <i>
      <x v="29"/>
    </i>
    <i t="grand">
      <x/>
    </i>
  </rowItems>
  <colItems count="1">
    <i/>
  </colItems>
  <dataFields count="1">
    <dataField name="Sum of total sales" fld="8" baseField="0" baseItem="0"/>
  </dataFields>
  <pivotTableStyleInfo name="PivotStyleMedium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87157-EFED-40F4-AE76-D74401701C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Executive">
  <location ref="A3:B7"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showAll="0"/>
    <pivotField showAll="0"/>
    <pivotField dataField="1" numFmtId="10" showAll="0"/>
    <pivotField showAll="0"/>
  </pivotFields>
  <rowFields count="1">
    <field x="1"/>
  </rowFields>
  <rowItems count="4">
    <i>
      <x v="7"/>
    </i>
    <i>
      <x v="16"/>
    </i>
    <i>
      <x v="29"/>
    </i>
    <i t="grand">
      <x/>
    </i>
  </rowItems>
  <colItems count="1">
    <i/>
  </colItems>
  <dataFields count="1">
    <dataField name="Sum of Target HIT %" fld="10" baseField="0" baseItem="0" numFmtId="10"/>
  </dataFields>
  <pivotTableStyleInfo name="PivotStyleMedium2" showRowHeaders="1" showColHeaders="1" showRowStripes="0" showColStripes="0" showLastColumn="1"/>
  <filters count="1">
    <filter fld="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854C9-B401-4C9E-B89C-A1AF14C8AC2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7"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showAll="0"/>
    <pivotField showAll="0"/>
    <pivotField dataField="1" numFmtId="10" showAll="0"/>
    <pivotField showAll="0"/>
  </pivotFields>
  <rowFields count="1">
    <field x="1"/>
  </rowFields>
  <rowItems count="4">
    <i>
      <x v="7"/>
    </i>
    <i>
      <x v="16"/>
    </i>
    <i>
      <x v="29"/>
    </i>
    <i t="grand">
      <x/>
    </i>
  </rowItems>
  <colItems count="1">
    <i/>
  </colItems>
  <dataFields count="1">
    <dataField name="Sum of Target HIT %" fld="10" baseField="0" baseItem="0" numFmtId="10"/>
  </dataFields>
  <pivotTableStyleInfo name="PivotStyleMedium2" showRowHeaders="1" showColHeaders="1" showRowStripes="0" showColStripes="0" showLastColumn="1"/>
  <filters count="1">
    <filter fld="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E36E3-6DA6-48D1-825B-F3BB885188D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Executive">
  <location ref="A3:B7"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showAll="0"/>
    <pivotField showAll="0"/>
    <pivotField numFmtId="10" showAll="0"/>
    <pivotField dataField="1" showAll="0"/>
  </pivotFields>
  <rowFields count="1">
    <field x="1"/>
  </rowFields>
  <rowItems count="4">
    <i>
      <x v="7"/>
    </i>
    <i>
      <x v="16"/>
    </i>
    <i>
      <x v="29"/>
    </i>
    <i t="grand">
      <x/>
    </i>
  </rowItems>
  <colItems count="1">
    <i/>
  </colItems>
  <dataFields count="1">
    <dataField name="Sum of Away From Target %" fld="11" baseField="0" baseItem="0" numFmtId="10"/>
  </dataFields>
  <formats count="2">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3C2F1A-7945-4290-85F7-B0292A073AF2}"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 Executive">
  <location ref="A2:B6"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dataField="1" showAll="0"/>
    <pivotField showAll="0"/>
    <pivotField numFmtId="10" showAll="0"/>
    <pivotField showAll="0"/>
  </pivotFields>
  <rowFields count="1">
    <field x="1"/>
  </rowFields>
  <rowItems count="4">
    <i>
      <x v="7"/>
    </i>
    <i>
      <x v="16"/>
    </i>
    <i>
      <x v="29"/>
    </i>
    <i t="grand">
      <x/>
    </i>
  </rowItems>
  <colItems count="1">
    <i/>
  </colItems>
  <dataFields count="1">
    <dataField name="Sum of total sales" fld="8" baseField="0" baseItem="0"/>
  </dataFields>
  <formats count="2">
    <format dxfId="49">
      <pivotArea collapsedLevelsAreSubtotals="1" fieldPosition="0">
        <references count="1">
          <reference field="1" count="1">
            <x v="14"/>
          </reference>
        </references>
      </pivotArea>
    </format>
    <format dxfId="48">
      <pivotArea collapsedLevelsAreSubtotals="1" fieldPosition="0">
        <references count="1">
          <reference field="1" count="1">
            <x v="1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1C1AD-745E-4DB4-AD85-43772532CF9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Executive">
  <location ref="J2:K6" firstHeaderRow="1" firstDataRow="1" firstDataCol="1"/>
  <pivotFields count="12">
    <pivotField showAll="0"/>
    <pivotField axis="axisRow" showAll="0">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showAll="0"/>
    <pivotField showAll="0"/>
    <pivotField numFmtId="10" showAll="0"/>
    <pivotField dataField="1" showAll="0"/>
  </pivotFields>
  <rowFields count="1">
    <field x="1"/>
  </rowFields>
  <rowItems count="4">
    <i>
      <x v="7"/>
    </i>
    <i>
      <x v="16"/>
    </i>
    <i>
      <x v="29"/>
    </i>
    <i t="grand">
      <x/>
    </i>
  </rowItems>
  <colItems count="1">
    <i/>
  </colItems>
  <dataFields count="1">
    <dataField name="Sum of Away From Target %" fld="11" baseField="0" baseItem="0" numFmtId="10"/>
  </dataFields>
  <formats count="2">
    <format dxfId="51">
      <pivotArea outline="0" collapsedLevelsAreSubtotals="1" fieldPosition="0"/>
    </format>
    <format dxfId="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2ECA4-349B-40D3-A998-C2E9BE6F08B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Executive">
  <location ref="G2:H6"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showAll="0"/>
    <pivotField showAll="0"/>
    <pivotField dataField="1" numFmtId="10" showAll="0"/>
    <pivotField showAll="0"/>
  </pivotFields>
  <rowFields count="1">
    <field x="1"/>
  </rowFields>
  <rowItems count="4">
    <i>
      <x v="7"/>
    </i>
    <i>
      <x v="16"/>
    </i>
    <i>
      <x v="29"/>
    </i>
    <i t="grand">
      <x/>
    </i>
  </rowItems>
  <colItems count="1">
    <i/>
  </colItems>
  <dataFields count="1">
    <dataField name="Sum of Target HIT %" fld="10"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27"/>
          </reference>
        </references>
      </pivotArea>
    </chartFormat>
    <chartFormat chart="0" format="4">
      <pivotArea type="data" outline="0" fieldPosition="0">
        <references count="2">
          <reference field="4294967294" count="1" selected="0">
            <x v="0"/>
          </reference>
          <reference field="1" count="1" selected="0">
            <x v="31"/>
          </reference>
        </references>
      </pivotArea>
    </chartFormat>
    <chartFormat chart="0" format="5">
      <pivotArea type="data" outline="0" fieldPosition="0">
        <references count="2">
          <reference field="4294967294" count="1" selected="0">
            <x v="0"/>
          </reference>
          <reference field="1" count="1" selected="0">
            <x v="32"/>
          </reference>
        </references>
      </pivotArea>
    </chartFormat>
  </chartFormats>
  <pivotTableStyleInfo name="PivotStyleMedium2" showRowHeaders="1" showColHeaders="1" showRowStripes="0" showColStripes="0" showLastColumn="1"/>
  <filters count="1">
    <filter fld="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845A8C-04EC-4990-93F5-CBB5348C163F}"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2:E6" firstHeaderRow="1" firstDataRow="1" firstDataCol="1"/>
  <pivotFields count="12">
    <pivotField showAll="0"/>
    <pivotField axis="axisRow" showAll="0" measureFilter="1">
      <items count="40">
        <item x="12"/>
        <item x="15"/>
        <item x="31"/>
        <item x="4"/>
        <item x="27"/>
        <item x="2"/>
        <item x="7"/>
        <item x="32"/>
        <item x="16"/>
        <item x="37"/>
        <item x="28"/>
        <item x="17"/>
        <item x="30"/>
        <item x="9"/>
        <item x="25"/>
        <item x="26"/>
        <item x="23"/>
        <item x="24"/>
        <item x="36"/>
        <item x="0"/>
        <item x="14"/>
        <item x="22"/>
        <item x="34"/>
        <item x="20"/>
        <item x="35"/>
        <item x="5"/>
        <item x="38"/>
        <item x="29"/>
        <item x="11"/>
        <item x="19"/>
        <item x="10"/>
        <item x="18"/>
        <item x="3"/>
        <item x="6"/>
        <item x="1"/>
        <item x="21"/>
        <item x="8"/>
        <item x="33"/>
        <item x="13"/>
        <item t="default"/>
      </items>
    </pivotField>
    <pivotField showAll="0">
      <items count="15">
        <item h="1" x="3"/>
        <item h="1" x="12"/>
        <item h="1" x="10"/>
        <item h="1" x="4"/>
        <item x="11"/>
        <item h="1" x="1"/>
        <item h="1" x="2"/>
        <item h="1" x="13"/>
        <item h="1" x="0"/>
        <item h="1" x="7"/>
        <item h="1" x="9"/>
        <item h="1" x="8"/>
        <item h="1" x="5"/>
        <item h="1" x="6"/>
        <item t="default"/>
      </items>
    </pivotField>
    <pivotField showAll="0"/>
    <pivotField showAll="0"/>
    <pivotField showAll="0"/>
    <pivotField showAll="0"/>
    <pivotField showAll="0"/>
    <pivotField dataField="1" showAll="0"/>
    <pivotField showAll="0"/>
    <pivotField numFmtId="10" showAll="0"/>
    <pivotField showAll="0"/>
  </pivotFields>
  <rowFields count="1">
    <field x="1"/>
  </rowFields>
  <rowItems count="4">
    <i>
      <x v="7"/>
    </i>
    <i>
      <x v="16"/>
    </i>
    <i>
      <x v="29"/>
    </i>
    <i t="grand">
      <x/>
    </i>
  </rowItems>
  <colItems count="1">
    <i/>
  </colItems>
  <dataFields count="1">
    <dataField name="Sum of total sales" fld="8" baseField="0" baseItem="0"/>
  </dataFields>
  <pivotTableStyleInfo name="PivotStyleMedium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953123-CCFB-47AD-8E43-B7425A738013}" sourceName="Region">
  <pivotTables>
    <pivotTable tabId="2" name="PivotTable20"/>
    <pivotTable tabId="2" name="PivotTable19"/>
    <pivotTable tabId="2" name="PivotTable21"/>
    <pivotTable tabId="2" name="PivotTable22"/>
    <pivotTable tabId="3" name="PivotTable1"/>
    <pivotTable tabId="3" name="PivotTable2"/>
    <pivotTable tabId="4" name="PivotTable7"/>
    <pivotTable tabId="4" name="PivotTable8"/>
    <pivotTable tabId="5" name="PivotTable16"/>
  </pivotTables>
  <data>
    <tabular pivotCacheId="416412851">
      <items count="14">
        <i x="3"/>
        <i x="12"/>
        <i x="10"/>
        <i x="4"/>
        <i x="11" s="1"/>
        <i x="1"/>
        <i x="2"/>
        <i x="13"/>
        <i x="0"/>
        <i x="7"/>
        <i x="9"/>
        <i x="8"/>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1449FA-4983-4917-88E2-4A3633CD3FAF}" cache="Slicer_Region" caption="Region" columnCount="7" showCaption="0"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8.xml"/><Relationship Id="rId7" Type="http://schemas.openxmlformats.org/officeDocument/2006/relationships/vmlDrawing" Target="../drawings/vmlDrawing1.v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11" Type="http://schemas.microsoft.com/office/2007/relationships/slicer" Target="../slicers/slicer1.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9.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E50C-A3C3-43C2-8692-5B581B92A5A3}">
  <sheetPr codeName="Sheet1"/>
  <dimension ref="A3:E7"/>
  <sheetViews>
    <sheetView workbookViewId="0">
      <selection activeCell="D3" sqref="D3:E10"/>
    </sheetView>
  </sheetViews>
  <sheetFormatPr defaultRowHeight="14.5" x14ac:dyDescent="0.35"/>
  <cols>
    <col min="1" max="1" width="15.6328125" bestFit="1" customWidth="1"/>
    <col min="2" max="2" width="15.54296875" bestFit="1" customWidth="1"/>
    <col min="3" max="3" width="1.7265625" customWidth="1"/>
    <col min="4" max="4" width="17" customWidth="1"/>
    <col min="5" max="5" width="15.81640625" customWidth="1"/>
  </cols>
  <sheetData>
    <row r="3" spans="1:5" x14ac:dyDescent="0.35">
      <c r="A3" s="4" t="s">
        <v>40</v>
      </c>
      <c r="B3" t="s">
        <v>104</v>
      </c>
      <c r="D3" s="4" t="s">
        <v>40</v>
      </c>
      <c r="E3" t="s">
        <v>104</v>
      </c>
    </row>
    <row r="4" spans="1:5" x14ac:dyDescent="0.35">
      <c r="A4" s="5" t="s">
        <v>73</v>
      </c>
      <c r="B4" s="7">
        <v>389</v>
      </c>
      <c r="D4" s="5" t="s">
        <v>73</v>
      </c>
      <c r="E4" s="7">
        <v>389</v>
      </c>
    </row>
    <row r="5" spans="1:5" x14ac:dyDescent="0.35">
      <c r="A5" s="5" t="s">
        <v>64</v>
      </c>
      <c r="B5" s="7">
        <v>374</v>
      </c>
      <c r="D5" s="5" t="s">
        <v>64</v>
      </c>
      <c r="E5" s="7">
        <v>374</v>
      </c>
    </row>
    <row r="6" spans="1:5" x14ac:dyDescent="0.35">
      <c r="A6" s="5" t="s">
        <v>60</v>
      </c>
      <c r="B6" s="7">
        <v>489</v>
      </c>
      <c r="D6" s="5" t="s">
        <v>60</v>
      </c>
      <c r="E6" s="7">
        <v>489</v>
      </c>
    </row>
    <row r="7" spans="1:5" x14ac:dyDescent="0.35">
      <c r="A7" s="5" t="s">
        <v>103</v>
      </c>
      <c r="B7" s="7">
        <v>1252</v>
      </c>
      <c r="D7" s="5" t="s">
        <v>103</v>
      </c>
      <c r="E7" s="7">
        <v>1252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C9B5-4FF6-4E15-9419-658FD2C0F7B5}">
  <sheetPr codeName="Sheet2"/>
  <dimension ref="A3:E7"/>
  <sheetViews>
    <sheetView workbookViewId="0">
      <selection activeCell="A3" sqref="A3:B10"/>
    </sheetView>
  </sheetViews>
  <sheetFormatPr defaultRowHeight="14.5" x14ac:dyDescent="0.35"/>
  <cols>
    <col min="1" max="1" width="15.6328125" bestFit="1" customWidth="1"/>
    <col min="2" max="2" width="17.7265625" bestFit="1" customWidth="1"/>
    <col min="3" max="3" width="4.7265625" customWidth="1"/>
    <col min="4" max="4" width="15.6328125" customWidth="1"/>
    <col min="5" max="5" width="18.1796875" customWidth="1"/>
  </cols>
  <sheetData>
    <row r="3" spans="1:5" x14ac:dyDescent="0.35">
      <c r="A3" s="4" t="s">
        <v>40</v>
      </c>
      <c r="B3" t="s">
        <v>105</v>
      </c>
      <c r="D3" s="4" t="s">
        <v>40</v>
      </c>
      <c r="E3" t="s">
        <v>105</v>
      </c>
    </row>
    <row r="4" spans="1:5" x14ac:dyDescent="0.35">
      <c r="A4" s="5" t="s">
        <v>73</v>
      </c>
      <c r="B4" s="3">
        <v>0.45779999999999998</v>
      </c>
      <c r="D4" s="5" t="s">
        <v>73</v>
      </c>
      <c r="E4" s="3">
        <v>0.45779999999999998</v>
      </c>
    </row>
    <row r="5" spans="1:5" x14ac:dyDescent="0.35">
      <c r="A5" s="5" t="s">
        <v>64</v>
      </c>
      <c r="B5" s="3">
        <v>0.43340000000000001</v>
      </c>
      <c r="D5" s="5" t="s">
        <v>64</v>
      </c>
      <c r="E5" s="3">
        <v>0.43340000000000001</v>
      </c>
    </row>
    <row r="6" spans="1:5" x14ac:dyDescent="0.35">
      <c r="A6" s="5" t="s">
        <v>60</v>
      </c>
      <c r="B6" s="3">
        <v>0.76900000000000002</v>
      </c>
      <c r="D6" s="5" t="s">
        <v>60</v>
      </c>
      <c r="E6" s="3">
        <v>0.76900000000000002</v>
      </c>
    </row>
    <row r="7" spans="1:5" x14ac:dyDescent="0.35">
      <c r="A7" s="5" t="s">
        <v>103</v>
      </c>
      <c r="B7" s="3">
        <v>1.6602000000000001</v>
      </c>
      <c r="D7" s="5" t="s">
        <v>103</v>
      </c>
      <c r="E7" s="3">
        <v>1.6602000000000001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2741-F593-4CCC-8F7E-F5CCFD20766C}">
  <sheetPr codeName="Sheet3"/>
  <dimension ref="A3:B7"/>
  <sheetViews>
    <sheetView workbookViewId="0">
      <selection activeCell="A3" sqref="A3:B10"/>
    </sheetView>
  </sheetViews>
  <sheetFormatPr defaultRowHeight="14.5" x14ac:dyDescent="0.35"/>
  <cols>
    <col min="1" max="1" width="15.7265625" bestFit="1" customWidth="1"/>
    <col min="2" max="2" width="24.453125" bestFit="1" customWidth="1"/>
  </cols>
  <sheetData>
    <row r="3" spans="1:2" x14ac:dyDescent="0.35">
      <c r="A3" s="4" t="s">
        <v>40</v>
      </c>
      <c r="B3" s="3" t="s">
        <v>107</v>
      </c>
    </row>
    <row r="4" spans="1:2" x14ac:dyDescent="0.35">
      <c r="A4" s="5" t="s">
        <v>73</v>
      </c>
      <c r="B4" s="3">
        <v>0.23319999999999999</v>
      </c>
    </row>
    <row r="5" spans="1:2" x14ac:dyDescent="0.35">
      <c r="A5" s="5" t="s">
        <v>64</v>
      </c>
      <c r="B5" s="3">
        <v>0.38400000000000001</v>
      </c>
    </row>
    <row r="6" spans="1:2" x14ac:dyDescent="0.35">
      <c r="A6" s="5" t="s">
        <v>60</v>
      </c>
      <c r="B6" s="3">
        <v>0.31209999999999999</v>
      </c>
    </row>
    <row r="7" spans="1:2" x14ac:dyDescent="0.35">
      <c r="A7" s="5" t="s">
        <v>103</v>
      </c>
      <c r="B7" s="3">
        <v>0.92930000000000001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865F-4EFF-4CC4-BC45-F3AD8FF9CEBA}">
  <sheetPr codeName="Sheet4"/>
  <dimension ref="A1:L40"/>
  <sheetViews>
    <sheetView workbookViewId="0">
      <selection activeCell="L1" sqref="L1"/>
    </sheetView>
  </sheetViews>
  <sheetFormatPr defaultRowHeight="14.5" x14ac:dyDescent="0.35"/>
  <cols>
    <col min="1" max="1" width="12.08984375" customWidth="1"/>
    <col min="2" max="2" width="16.26953125" customWidth="1"/>
    <col min="3" max="3" width="12.7265625" customWidth="1"/>
    <col min="4" max="4" width="12.90625" customWidth="1"/>
    <col min="11" max="11" width="12.7265625" customWidth="1"/>
    <col min="12" max="12" width="18.81640625" customWidth="1"/>
  </cols>
  <sheetData>
    <row r="1" spans="1:12" x14ac:dyDescent="0.35">
      <c r="A1" t="s">
        <v>0</v>
      </c>
      <c r="B1" t="s">
        <v>40</v>
      </c>
      <c r="C1" t="s">
        <v>80</v>
      </c>
      <c r="D1" t="s">
        <v>95</v>
      </c>
      <c r="E1" t="s">
        <v>96</v>
      </c>
      <c r="F1" t="s">
        <v>97</v>
      </c>
      <c r="G1" t="s">
        <v>98</v>
      </c>
      <c r="H1" t="s">
        <v>99</v>
      </c>
      <c r="I1" t="s">
        <v>100</v>
      </c>
      <c r="J1" t="s">
        <v>101</v>
      </c>
      <c r="K1" t="s">
        <v>102</v>
      </c>
      <c r="L1" t="s">
        <v>106</v>
      </c>
    </row>
    <row r="2" spans="1:12" x14ac:dyDescent="0.35">
      <c r="A2" t="s">
        <v>1</v>
      </c>
      <c r="B2" t="s">
        <v>41</v>
      </c>
      <c r="C2" t="s">
        <v>81</v>
      </c>
      <c r="D2">
        <v>56</v>
      </c>
      <c r="E2">
        <v>67</v>
      </c>
      <c r="F2">
        <v>46</v>
      </c>
      <c r="G2">
        <v>78</v>
      </c>
      <c r="H2">
        <v>63</v>
      </c>
      <c r="I2">
        <v>636</v>
      </c>
      <c r="J2">
        <v>500</v>
      </c>
      <c r="K2" s="1">
        <v>0.56379999999999997</v>
      </c>
      <c r="L2" s="3">
        <v>0.74219999999999997</v>
      </c>
    </row>
    <row r="3" spans="1:12" x14ac:dyDescent="0.35">
      <c r="A3" t="s">
        <v>2</v>
      </c>
      <c r="B3" t="s">
        <v>42</v>
      </c>
      <c r="C3" t="s">
        <v>82</v>
      </c>
      <c r="D3">
        <v>32</v>
      </c>
      <c r="E3">
        <v>54</v>
      </c>
      <c r="F3">
        <v>36</v>
      </c>
      <c r="G3">
        <v>47</v>
      </c>
      <c r="H3">
        <v>46</v>
      </c>
      <c r="I3">
        <v>366</v>
      </c>
      <c r="J3">
        <v>500</v>
      </c>
      <c r="K3" s="2">
        <v>0.67359999999999998</v>
      </c>
      <c r="L3" s="3">
        <v>0.90890000000000004</v>
      </c>
    </row>
    <row r="4" spans="1:12" x14ac:dyDescent="0.35">
      <c r="A4" t="s">
        <v>3</v>
      </c>
      <c r="B4" t="s">
        <v>43</v>
      </c>
      <c r="C4" t="s">
        <v>83</v>
      </c>
      <c r="D4">
        <v>63</v>
      </c>
      <c r="E4">
        <v>67</v>
      </c>
      <c r="F4">
        <v>37</v>
      </c>
      <c r="G4">
        <v>38</v>
      </c>
      <c r="H4">
        <v>47</v>
      </c>
      <c r="I4">
        <v>256</v>
      </c>
      <c r="J4">
        <v>500</v>
      </c>
      <c r="K4" s="3">
        <v>0.33889999999999998</v>
      </c>
      <c r="L4" s="3">
        <v>0.90800000000000003</v>
      </c>
    </row>
    <row r="5" spans="1:12" x14ac:dyDescent="0.35">
      <c r="A5" t="s">
        <v>4</v>
      </c>
      <c r="B5" t="s">
        <v>44</v>
      </c>
      <c r="C5" t="s">
        <v>84</v>
      </c>
      <c r="D5">
        <v>76</v>
      </c>
      <c r="E5">
        <v>78</v>
      </c>
      <c r="F5">
        <v>89</v>
      </c>
      <c r="G5">
        <v>28</v>
      </c>
      <c r="H5">
        <v>37</v>
      </c>
      <c r="I5">
        <v>376</v>
      </c>
      <c r="J5">
        <v>500</v>
      </c>
      <c r="K5" s="3">
        <v>0.67889999999999995</v>
      </c>
      <c r="L5" s="3">
        <v>0.54559999999999997</v>
      </c>
    </row>
    <row r="6" spans="1:12" x14ac:dyDescent="0.35">
      <c r="A6" t="s">
        <v>5</v>
      </c>
      <c r="B6" t="s">
        <v>45</v>
      </c>
      <c r="C6" t="s">
        <v>82</v>
      </c>
      <c r="D6">
        <v>56</v>
      </c>
      <c r="E6">
        <v>98</v>
      </c>
      <c r="F6">
        <v>90</v>
      </c>
      <c r="G6">
        <v>38</v>
      </c>
      <c r="H6">
        <v>89</v>
      </c>
      <c r="I6">
        <v>288</v>
      </c>
      <c r="J6">
        <v>500</v>
      </c>
      <c r="K6" s="3">
        <v>0.20780000000000001</v>
      </c>
      <c r="L6" s="3">
        <v>0.32400000000000001</v>
      </c>
    </row>
    <row r="7" spans="1:12" x14ac:dyDescent="0.35">
      <c r="A7" t="s">
        <v>6</v>
      </c>
      <c r="B7" t="s">
        <v>46</v>
      </c>
      <c r="C7" t="s">
        <v>85</v>
      </c>
      <c r="D7">
        <v>89</v>
      </c>
      <c r="E7">
        <v>80</v>
      </c>
      <c r="F7">
        <v>80</v>
      </c>
      <c r="G7">
        <v>89</v>
      </c>
      <c r="H7">
        <v>78</v>
      </c>
      <c r="I7">
        <v>373</v>
      </c>
      <c r="J7">
        <v>500</v>
      </c>
      <c r="K7" s="3">
        <v>0.214</v>
      </c>
      <c r="L7" s="3">
        <v>0.6623</v>
      </c>
    </row>
    <row r="8" spans="1:12" x14ac:dyDescent="0.35">
      <c r="A8" t="s">
        <v>7</v>
      </c>
      <c r="B8" t="s">
        <v>47</v>
      </c>
      <c r="C8" t="s">
        <v>86</v>
      </c>
      <c r="D8">
        <v>34</v>
      </c>
      <c r="E8">
        <v>77</v>
      </c>
      <c r="F8">
        <v>97</v>
      </c>
      <c r="G8">
        <v>90</v>
      </c>
      <c r="H8">
        <v>90</v>
      </c>
      <c r="I8">
        <v>277</v>
      </c>
      <c r="J8">
        <v>500</v>
      </c>
      <c r="K8" s="3">
        <v>0.4556</v>
      </c>
      <c r="L8" s="3">
        <v>0.33329999999999999</v>
      </c>
    </row>
    <row r="9" spans="1:12" x14ac:dyDescent="0.35">
      <c r="A9" t="s">
        <v>8</v>
      </c>
      <c r="B9" t="s">
        <v>48</v>
      </c>
      <c r="C9" t="s">
        <v>87</v>
      </c>
      <c r="D9">
        <v>67</v>
      </c>
      <c r="E9">
        <v>45</v>
      </c>
      <c r="F9">
        <v>98</v>
      </c>
      <c r="G9">
        <v>80</v>
      </c>
      <c r="H9">
        <v>65</v>
      </c>
      <c r="I9">
        <v>288</v>
      </c>
      <c r="J9">
        <v>500</v>
      </c>
      <c r="K9" s="3">
        <v>0.36470000000000002</v>
      </c>
      <c r="L9" s="3">
        <v>0.21210000000000001</v>
      </c>
    </row>
    <row r="10" spans="1:12" x14ac:dyDescent="0.35">
      <c r="A10" t="s">
        <v>9</v>
      </c>
      <c r="B10" t="s">
        <v>49</v>
      </c>
      <c r="C10" t="s">
        <v>88</v>
      </c>
      <c r="D10">
        <v>87</v>
      </c>
      <c r="E10">
        <v>35</v>
      </c>
      <c r="F10">
        <v>78</v>
      </c>
      <c r="G10">
        <v>34</v>
      </c>
      <c r="H10">
        <v>67</v>
      </c>
      <c r="I10">
        <v>292</v>
      </c>
      <c r="J10">
        <v>500</v>
      </c>
      <c r="K10" s="3">
        <v>0.78649999999999998</v>
      </c>
      <c r="L10" s="3">
        <v>0.4456</v>
      </c>
    </row>
    <row r="11" spans="1:12" x14ac:dyDescent="0.35">
      <c r="A11" t="s">
        <v>10</v>
      </c>
      <c r="B11" t="s">
        <v>50</v>
      </c>
      <c r="C11" t="s">
        <v>89</v>
      </c>
      <c r="D11">
        <v>98</v>
      </c>
      <c r="E11">
        <v>67</v>
      </c>
      <c r="F11">
        <v>76</v>
      </c>
      <c r="G11">
        <v>54</v>
      </c>
      <c r="H11">
        <v>78</v>
      </c>
      <c r="I11">
        <v>377</v>
      </c>
      <c r="J11">
        <v>500</v>
      </c>
      <c r="K11" s="3">
        <v>0.66669999999999996</v>
      </c>
      <c r="L11" s="3">
        <v>0.87670000000000003</v>
      </c>
    </row>
    <row r="12" spans="1:12" x14ac:dyDescent="0.35">
      <c r="A12" t="s">
        <v>11</v>
      </c>
      <c r="B12" t="s">
        <v>51</v>
      </c>
      <c r="C12" t="s">
        <v>90</v>
      </c>
      <c r="D12">
        <v>78</v>
      </c>
      <c r="E12">
        <v>65</v>
      </c>
      <c r="F12">
        <v>85</v>
      </c>
      <c r="G12">
        <v>56</v>
      </c>
      <c r="H12">
        <v>35</v>
      </c>
      <c r="I12">
        <v>485</v>
      </c>
      <c r="J12">
        <v>500</v>
      </c>
      <c r="K12" s="3">
        <v>0.98599999999999999</v>
      </c>
      <c r="L12" s="3">
        <v>0.48649999999999999</v>
      </c>
    </row>
    <row r="13" spans="1:12" x14ac:dyDescent="0.35">
      <c r="A13" t="s">
        <v>12</v>
      </c>
      <c r="B13" t="s">
        <v>52</v>
      </c>
      <c r="C13" t="s">
        <v>91</v>
      </c>
      <c r="D13">
        <v>67</v>
      </c>
      <c r="E13">
        <v>64</v>
      </c>
      <c r="F13">
        <v>94</v>
      </c>
      <c r="G13">
        <v>76</v>
      </c>
      <c r="H13">
        <v>25</v>
      </c>
      <c r="I13">
        <v>477</v>
      </c>
      <c r="J13">
        <v>500</v>
      </c>
      <c r="K13" s="3">
        <v>0.39400000000000002</v>
      </c>
      <c r="L13" s="3">
        <v>0.56889999999999996</v>
      </c>
    </row>
    <row r="14" spans="1:12" x14ac:dyDescent="0.35">
      <c r="A14" t="s">
        <v>13</v>
      </c>
      <c r="B14" t="s">
        <v>53</v>
      </c>
      <c r="C14" t="s">
        <v>88</v>
      </c>
      <c r="D14">
        <v>54</v>
      </c>
      <c r="E14">
        <v>36</v>
      </c>
      <c r="F14">
        <v>83</v>
      </c>
      <c r="G14">
        <v>78</v>
      </c>
      <c r="H14">
        <v>36</v>
      </c>
      <c r="I14">
        <v>389</v>
      </c>
      <c r="J14">
        <v>500</v>
      </c>
      <c r="K14" s="3">
        <v>0.44700000000000001</v>
      </c>
      <c r="L14" s="3">
        <v>0.45540000000000003</v>
      </c>
    </row>
    <row r="15" spans="1:12" x14ac:dyDescent="0.35">
      <c r="A15" t="s">
        <v>14</v>
      </c>
      <c r="B15" t="s">
        <v>54</v>
      </c>
      <c r="C15" t="s">
        <v>82</v>
      </c>
      <c r="D15">
        <v>25</v>
      </c>
      <c r="E15">
        <v>76</v>
      </c>
      <c r="F15">
        <v>82</v>
      </c>
      <c r="G15">
        <v>76</v>
      </c>
      <c r="H15">
        <v>76</v>
      </c>
      <c r="I15">
        <v>477</v>
      </c>
      <c r="J15">
        <v>500</v>
      </c>
      <c r="K15" s="3">
        <v>0.80879999999999996</v>
      </c>
      <c r="L15" s="3">
        <v>0.78879999999999995</v>
      </c>
    </row>
    <row r="16" spans="1:12" x14ac:dyDescent="0.35">
      <c r="A16" t="s">
        <v>15</v>
      </c>
      <c r="B16" t="s">
        <v>55</v>
      </c>
      <c r="C16" t="s">
        <v>81</v>
      </c>
      <c r="D16">
        <v>26</v>
      </c>
      <c r="E16">
        <v>52</v>
      </c>
      <c r="F16">
        <v>36</v>
      </c>
      <c r="G16">
        <v>54</v>
      </c>
      <c r="H16">
        <v>67</v>
      </c>
      <c r="I16">
        <v>366</v>
      </c>
      <c r="J16">
        <v>500</v>
      </c>
      <c r="K16" s="3">
        <v>0.34789999999999999</v>
      </c>
      <c r="L16" s="3">
        <v>0.32340000000000002</v>
      </c>
    </row>
    <row r="17" spans="1:12" x14ac:dyDescent="0.35">
      <c r="A17" t="s">
        <v>16</v>
      </c>
      <c r="B17" t="s">
        <v>56</v>
      </c>
      <c r="C17" t="s">
        <v>84</v>
      </c>
      <c r="D17">
        <v>75</v>
      </c>
      <c r="E17">
        <v>39</v>
      </c>
      <c r="F17">
        <v>46</v>
      </c>
      <c r="G17">
        <v>23</v>
      </c>
      <c r="H17">
        <v>78</v>
      </c>
      <c r="I17">
        <v>488</v>
      </c>
      <c r="J17">
        <v>500</v>
      </c>
      <c r="K17" s="3">
        <v>0.33310000000000001</v>
      </c>
      <c r="L17" s="3">
        <v>0.90500000000000003</v>
      </c>
    </row>
    <row r="18" spans="1:12" x14ac:dyDescent="0.35">
      <c r="A18" t="s">
        <v>17</v>
      </c>
      <c r="B18" t="s">
        <v>57</v>
      </c>
      <c r="C18" t="s">
        <v>90</v>
      </c>
      <c r="D18">
        <v>74</v>
      </c>
      <c r="E18">
        <v>40</v>
      </c>
      <c r="F18">
        <v>78</v>
      </c>
      <c r="G18">
        <v>34</v>
      </c>
      <c r="H18">
        <v>87</v>
      </c>
      <c r="I18">
        <v>390</v>
      </c>
      <c r="J18">
        <v>500</v>
      </c>
      <c r="K18" s="3">
        <v>0.997</v>
      </c>
      <c r="L18" s="3">
        <v>0.67889999999999995</v>
      </c>
    </row>
    <row r="19" spans="1:12" x14ac:dyDescent="0.35">
      <c r="A19" t="s">
        <v>18</v>
      </c>
      <c r="B19" t="s">
        <v>58</v>
      </c>
      <c r="C19" t="s">
        <v>83</v>
      </c>
      <c r="D19">
        <v>73</v>
      </c>
      <c r="E19">
        <v>29</v>
      </c>
      <c r="F19">
        <v>65</v>
      </c>
      <c r="G19">
        <v>54</v>
      </c>
      <c r="H19">
        <v>65</v>
      </c>
      <c r="I19">
        <v>278</v>
      </c>
      <c r="J19">
        <v>500</v>
      </c>
      <c r="K19" s="3">
        <v>0.69799999999999995</v>
      </c>
      <c r="L19" s="3">
        <v>0.90539999999999998</v>
      </c>
    </row>
    <row r="20" spans="1:12" x14ac:dyDescent="0.35">
      <c r="A20" t="s">
        <v>19</v>
      </c>
      <c r="B20" t="s">
        <v>59</v>
      </c>
      <c r="C20" t="s">
        <v>84</v>
      </c>
      <c r="D20">
        <v>32</v>
      </c>
      <c r="E20">
        <v>28</v>
      </c>
      <c r="F20">
        <v>48</v>
      </c>
      <c r="G20">
        <v>65</v>
      </c>
      <c r="H20">
        <v>55</v>
      </c>
      <c r="I20">
        <v>478</v>
      </c>
      <c r="J20">
        <v>500</v>
      </c>
      <c r="K20" s="3">
        <v>0.67800000000000005</v>
      </c>
      <c r="L20" s="3">
        <v>0.33439999999999998</v>
      </c>
    </row>
    <row r="21" spans="1:12" x14ac:dyDescent="0.35">
      <c r="A21" t="s">
        <v>20</v>
      </c>
      <c r="B21" t="s">
        <v>60</v>
      </c>
      <c r="C21" t="s">
        <v>92</v>
      </c>
      <c r="D21">
        <v>35</v>
      </c>
      <c r="E21">
        <v>27</v>
      </c>
      <c r="F21">
        <v>49</v>
      </c>
      <c r="G21">
        <v>56</v>
      </c>
      <c r="H21">
        <v>45</v>
      </c>
      <c r="I21">
        <v>489</v>
      </c>
      <c r="J21">
        <v>500</v>
      </c>
      <c r="K21" s="3">
        <v>0.76900000000000002</v>
      </c>
      <c r="L21" s="3">
        <v>0.31209999999999999</v>
      </c>
    </row>
    <row r="22" spans="1:12" x14ac:dyDescent="0.35">
      <c r="A22" t="s">
        <v>21</v>
      </c>
      <c r="B22" t="s">
        <v>61</v>
      </c>
      <c r="C22" t="s">
        <v>93</v>
      </c>
      <c r="D22">
        <v>65</v>
      </c>
      <c r="E22">
        <v>39</v>
      </c>
      <c r="F22">
        <v>30</v>
      </c>
      <c r="G22">
        <v>76</v>
      </c>
      <c r="H22">
        <v>54</v>
      </c>
      <c r="I22">
        <v>378</v>
      </c>
      <c r="J22">
        <v>500</v>
      </c>
      <c r="K22" s="3">
        <v>0.32329999999999998</v>
      </c>
      <c r="L22" s="3">
        <v>0.34320000000000001</v>
      </c>
    </row>
    <row r="23" spans="1:12" x14ac:dyDescent="0.35">
      <c r="A23" t="s">
        <v>22</v>
      </c>
      <c r="B23" t="s">
        <v>62</v>
      </c>
      <c r="C23" t="s">
        <v>94</v>
      </c>
      <c r="D23">
        <v>40</v>
      </c>
      <c r="E23">
        <v>40</v>
      </c>
      <c r="F23">
        <v>20</v>
      </c>
      <c r="G23">
        <v>67</v>
      </c>
      <c r="H23">
        <v>36</v>
      </c>
      <c r="I23">
        <v>389</v>
      </c>
      <c r="J23">
        <v>500</v>
      </c>
      <c r="K23" s="3">
        <v>0.90780000000000005</v>
      </c>
      <c r="L23" s="3">
        <v>0.43430000000000002</v>
      </c>
    </row>
    <row r="24" spans="1:12" x14ac:dyDescent="0.35">
      <c r="A24" t="s">
        <v>23</v>
      </c>
      <c r="B24" t="s">
        <v>63</v>
      </c>
      <c r="C24" t="s">
        <v>81</v>
      </c>
      <c r="D24">
        <v>44</v>
      </c>
      <c r="E24">
        <v>50</v>
      </c>
      <c r="F24">
        <v>36</v>
      </c>
      <c r="G24">
        <v>89</v>
      </c>
      <c r="H24">
        <v>78</v>
      </c>
      <c r="I24">
        <v>289</v>
      </c>
      <c r="J24">
        <v>500</v>
      </c>
      <c r="K24" s="3">
        <v>0.98670000000000002</v>
      </c>
      <c r="L24" s="3">
        <v>0.32800000000000001</v>
      </c>
    </row>
    <row r="25" spans="1:12" x14ac:dyDescent="0.35">
      <c r="A25" t="s">
        <v>24</v>
      </c>
      <c r="B25" t="s">
        <v>64</v>
      </c>
      <c r="C25" t="s">
        <v>92</v>
      </c>
      <c r="D25">
        <v>28</v>
      </c>
      <c r="E25">
        <v>66</v>
      </c>
      <c r="F25">
        <v>67</v>
      </c>
      <c r="G25">
        <v>98</v>
      </c>
      <c r="H25">
        <v>38</v>
      </c>
      <c r="I25">
        <v>374</v>
      </c>
      <c r="J25">
        <v>500</v>
      </c>
      <c r="K25" s="3">
        <v>0.43340000000000001</v>
      </c>
      <c r="L25" s="3">
        <v>0.38400000000000001</v>
      </c>
    </row>
    <row r="26" spans="1:12" x14ac:dyDescent="0.35">
      <c r="A26" t="s">
        <v>25</v>
      </c>
      <c r="B26" t="s">
        <v>65</v>
      </c>
      <c r="C26" t="s">
        <v>91</v>
      </c>
      <c r="D26">
        <v>53</v>
      </c>
      <c r="E26">
        <v>78</v>
      </c>
      <c r="F26">
        <v>87</v>
      </c>
      <c r="G26">
        <v>97</v>
      </c>
      <c r="H26">
        <v>28</v>
      </c>
      <c r="I26">
        <v>367</v>
      </c>
      <c r="J26">
        <v>500</v>
      </c>
      <c r="K26" s="3">
        <v>0.2223</v>
      </c>
      <c r="L26" s="3">
        <v>0.60650000000000004</v>
      </c>
    </row>
    <row r="27" spans="1:12" x14ac:dyDescent="0.35">
      <c r="A27" t="s">
        <v>26</v>
      </c>
      <c r="B27" t="s">
        <v>66</v>
      </c>
      <c r="C27" t="s">
        <v>88</v>
      </c>
      <c r="D27">
        <v>63</v>
      </c>
      <c r="E27">
        <v>98</v>
      </c>
      <c r="F27">
        <v>34</v>
      </c>
      <c r="G27">
        <v>76</v>
      </c>
      <c r="H27">
        <v>39</v>
      </c>
      <c r="I27">
        <v>488</v>
      </c>
      <c r="J27">
        <v>500</v>
      </c>
      <c r="K27" s="3">
        <v>0.44669999999999999</v>
      </c>
      <c r="L27" s="3">
        <v>0.89800000000000002</v>
      </c>
    </row>
    <row r="28" spans="1:12" x14ac:dyDescent="0.35">
      <c r="A28" t="s">
        <v>27</v>
      </c>
      <c r="B28" t="s">
        <v>67</v>
      </c>
      <c r="C28" t="s">
        <v>90</v>
      </c>
      <c r="D28">
        <v>44</v>
      </c>
      <c r="E28">
        <v>78</v>
      </c>
      <c r="F28">
        <v>55</v>
      </c>
      <c r="G28">
        <v>45</v>
      </c>
      <c r="H28">
        <v>26</v>
      </c>
      <c r="I28">
        <v>393</v>
      </c>
      <c r="J28">
        <v>500</v>
      </c>
      <c r="K28" s="3">
        <v>0.67759999999999998</v>
      </c>
      <c r="L28" s="3">
        <v>0.434</v>
      </c>
    </row>
    <row r="29" spans="1:12" x14ac:dyDescent="0.35">
      <c r="A29" t="s">
        <v>28</v>
      </c>
      <c r="B29" t="s">
        <v>68</v>
      </c>
      <c r="C29" t="s">
        <v>82</v>
      </c>
      <c r="D29">
        <v>64</v>
      </c>
      <c r="E29">
        <v>76</v>
      </c>
      <c r="F29">
        <v>66</v>
      </c>
      <c r="G29">
        <v>54</v>
      </c>
      <c r="H29">
        <v>36</v>
      </c>
      <c r="I29">
        <v>940</v>
      </c>
      <c r="J29">
        <v>500</v>
      </c>
      <c r="K29" s="3">
        <v>0.65769999999999995</v>
      </c>
      <c r="L29" s="3">
        <v>0.44230000000000003</v>
      </c>
    </row>
    <row r="30" spans="1:12" x14ac:dyDescent="0.35">
      <c r="A30" t="s">
        <v>29</v>
      </c>
      <c r="B30" t="s">
        <v>69</v>
      </c>
      <c r="C30" t="s">
        <v>88</v>
      </c>
      <c r="D30">
        <v>65</v>
      </c>
      <c r="E30">
        <v>56</v>
      </c>
      <c r="F30">
        <v>77</v>
      </c>
      <c r="G30">
        <v>35</v>
      </c>
      <c r="H30">
        <v>46</v>
      </c>
      <c r="I30">
        <v>377</v>
      </c>
      <c r="J30">
        <v>500</v>
      </c>
      <c r="K30" s="3">
        <v>0.67669999999999997</v>
      </c>
      <c r="L30" s="3">
        <v>0.80649999999999999</v>
      </c>
    </row>
    <row r="31" spans="1:12" x14ac:dyDescent="0.35">
      <c r="A31" t="s">
        <v>30</v>
      </c>
      <c r="B31" t="s">
        <v>70</v>
      </c>
      <c r="C31" t="s">
        <v>84</v>
      </c>
      <c r="D31">
        <v>67</v>
      </c>
      <c r="E31">
        <v>78</v>
      </c>
      <c r="F31">
        <v>87</v>
      </c>
      <c r="G31">
        <v>55</v>
      </c>
      <c r="H31">
        <v>47</v>
      </c>
      <c r="I31">
        <v>388</v>
      </c>
      <c r="J31">
        <v>500</v>
      </c>
      <c r="K31" s="3">
        <v>0.34560000000000002</v>
      </c>
      <c r="L31" s="3">
        <v>0.89539999999999997</v>
      </c>
    </row>
    <row r="32" spans="1:12" x14ac:dyDescent="0.35">
      <c r="A32" t="s">
        <v>31</v>
      </c>
      <c r="B32" t="s">
        <v>71</v>
      </c>
      <c r="C32" t="s">
        <v>90</v>
      </c>
      <c r="D32">
        <v>76</v>
      </c>
      <c r="E32">
        <v>60</v>
      </c>
      <c r="F32">
        <v>78</v>
      </c>
      <c r="G32">
        <v>66</v>
      </c>
      <c r="H32">
        <v>89</v>
      </c>
      <c r="I32">
        <v>299</v>
      </c>
      <c r="J32">
        <v>500</v>
      </c>
      <c r="K32" s="3">
        <v>0.56540000000000001</v>
      </c>
      <c r="L32" s="3">
        <v>0.90649999999999997</v>
      </c>
    </row>
    <row r="33" spans="1:12" x14ac:dyDescent="0.35">
      <c r="A33" t="s">
        <v>32</v>
      </c>
      <c r="B33" t="s">
        <v>72</v>
      </c>
      <c r="C33" t="s">
        <v>84</v>
      </c>
      <c r="D33">
        <v>54</v>
      </c>
      <c r="E33">
        <v>80</v>
      </c>
      <c r="F33">
        <v>35</v>
      </c>
      <c r="G33">
        <v>77</v>
      </c>
      <c r="H33">
        <v>60</v>
      </c>
      <c r="I33">
        <v>267</v>
      </c>
      <c r="J33">
        <v>500</v>
      </c>
      <c r="K33" s="3">
        <v>0.67779999999999996</v>
      </c>
      <c r="L33" s="3">
        <v>0.32690000000000002</v>
      </c>
    </row>
    <row r="34" spans="1:12" x14ac:dyDescent="0.35">
      <c r="A34" t="s">
        <v>33</v>
      </c>
      <c r="B34" t="s">
        <v>73</v>
      </c>
      <c r="C34" t="s">
        <v>92</v>
      </c>
      <c r="D34">
        <v>30</v>
      </c>
      <c r="E34">
        <v>88</v>
      </c>
      <c r="F34">
        <v>45</v>
      </c>
      <c r="G34">
        <v>35</v>
      </c>
      <c r="H34">
        <v>50</v>
      </c>
      <c r="I34">
        <v>389</v>
      </c>
      <c r="J34">
        <v>500</v>
      </c>
      <c r="K34" s="3">
        <v>0.45779999999999998</v>
      </c>
      <c r="L34" s="3">
        <v>0.23319999999999999</v>
      </c>
    </row>
    <row r="35" spans="1:12" x14ac:dyDescent="0.35">
      <c r="A35" t="s">
        <v>34</v>
      </c>
      <c r="B35" t="s">
        <v>74</v>
      </c>
      <c r="C35" t="s">
        <v>81</v>
      </c>
      <c r="D35">
        <v>40</v>
      </c>
      <c r="E35">
        <v>78</v>
      </c>
      <c r="F35">
        <v>46</v>
      </c>
      <c r="G35">
        <v>67</v>
      </c>
      <c r="H35">
        <v>55</v>
      </c>
      <c r="I35">
        <v>499</v>
      </c>
      <c r="J35">
        <v>500</v>
      </c>
      <c r="K35" s="3">
        <v>0.90800000000000003</v>
      </c>
      <c r="L35" s="3">
        <v>0.45789999999999997</v>
      </c>
    </row>
    <row r="36" spans="1:12" x14ac:dyDescent="0.35">
      <c r="A36" t="s">
        <v>35</v>
      </c>
      <c r="B36" t="s">
        <v>75</v>
      </c>
      <c r="C36" t="s">
        <v>88</v>
      </c>
      <c r="D36">
        <v>60</v>
      </c>
      <c r="E36">
        <v>87</v>
      </c>
      <c r="F36">
        <v>47</v>
      </c>
      <c r="G36">
        <v>87</v>
      </c>
      <c r="H36">
        <v>88</v>
      </c>
      <c r="I36">
        <v>390</v>
      </c>
      <c r="J36">
        <v>500</v>
      </c>
      <c r="K36" s="3">
        <v>0.44669999999999999</v>
      </c>
      <c r="L36" s="3">
        <v>0.67200000000000004</v>
      </c>
    </row>
    <row r="37" spans="1:12" x14ac:dyDescent="0.35">
      <c r="A37" t="s">
        <v>36</v>
      </c>
      <c r="B37" t="s">
        <v>76</v>
      </c>
      <c r="C37" t="s">
        <v>89</v>
      </c>
      <c r="D37">
        <v>55</v>
      </c>
      <c r="E37">
        <v>67</v>
      </c>
      <c r="F37">
        <v>28</v>
      </c>
      <c r="G37">
        <v>67</v>
      </c>
      <c r="H37">
        <v>67</v>
      </c>
      <c r="I37">
        <v>200</v>
      </c>
      <c r="J37">
        <v>500</v>
      </c>
      <c r="K37" s="3">
        <v>0.78779999999999994</v>
      </c>
      <c r="L37" s="3">
        <v>0.434</v>
      </c>
    </row>
    <row r="38" spans="1:12" x14ac:dyDescent="0.35">
      <c r="A38" t="s">
        <v>37</v>
      </c>
      <c r="B38" t="s">
        <v>77</v>
      </c>
      <c r="C38" t="s">
        <v>86</v>
      </c>
      <c r="D38">
        <v>77</v>
      </c>
      <c r="E38">
        <v>76</v>
      </c>
      <c r="F38">
        <v>38</v>
      </c>
      <c r="G38">
        <v>66</v>
      </c>
      <c r="H38">
        <v>76</v>
      </c>
      <c r="I38">
        <v>367</v>
      </c>
      <c r="J38">
        <v>500</v>
      </c>
      <c r="K38" s="3">
        <v>0.88770000000000004</v>
      </c>
      <c r="L38" s="3">
        <v>0.32200000000000001</v>
      </c>
    </row>
    <row r="39" spans="1:12" x14ac:dyDescent="0.35">
      <c r="A39" t="s">
        <v>38</v>
      </c>
      <c r="B39" t="s">
        <v>78</v>
      </c>
      <c r="C39" t="s">
        <v>87</v>
      </c>
      <c r="D39">
        <v>50</v>
      </c>
      <c r="E39">
        <v>89</v>
      </c>
      <c r="F39">
        <v>49</v>
      </c>
      <c r="G39">
        <v>39</v>
      </c>
      <c r="H39">
        <v>75</v>
      </c>
      <c r="I39">
        <v>266</v>
      </c>
      <c r="J39">
        <v>500</v>
      </c>
      <c r="K39" s="3">
        <v>0.43340000000000001</v>
      </c>
      <c r="L39" s="3">
        <v>0.33200000000000002</v>
      </c>
    </row>
    <row r="40" spans="1:12" x14ac:dyDescent="0.35">
      <c r="A40" t="s">
        <v>39</v>
      </c>
      <c r="B40" t="s">
        <v>79</v>
      </c>
      <c r="C40" t="s">
        <v>88</v>
      </c>
      <c r="D40">
        <v>78</v>
      </c>
      <c r="E40">
        <v>24</v>
      </c>
      <c r="F40">
        <v>46</v>
      </c>
      <c r="G40">
        <v>58</v>
      </c>
      <c r="H40">
        <v>57</v>
      </c>
      <c r="I40">
        <v>378</v>
      </c>
      <c r="J40">
        <v>500</v>
      </c>
      <c r="K40" s="3">
        <v>0.77100000000000002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5E23-A4AF-497F-B166-A9F434408D85}">
  <sheetPr codeName="Sheet5"/>
  <dimension ref="A1:K6"/>
  <sheetViews>
    <sheetView tabSelected="1" zoomScale="98" zoomScaleNormal="98" workbookViewId="0">
      <selection activeCell="H24" sqref="H24"/>
    </sheetView>
  </sheetViews>
  <sheetFormatPr defaultRowHeight="14.5" x14ac:dyDescent="0.35"/>
  <cols>
    <col min="1" max="1" width="19.08984375" customWidth="1"/>
    <col min="2" max="2" width="19.26953125" customWidth="1"/>
    <col min="3" max="3" width="3.54296875" customWidth="1"/>
    <col min="4" max="4" width="16.90625" customWidth="1"/>
    <col min="5" max="5" width="19.36328125" customWidth="1"/>
    <col min="6" max="6" width="3.1796875" customWidth="1"/>
    <col min="7" max="7" width="15.90625" bestFit="1" customWidth="1"/>
    <col min="8" max="8" width="18.08984375" bestFit="1" customWidth="1"/>
    <col min="9" max="9" width="2" customWidth="1"/>
    <col min="10" max="10" width="15.90625" bestFit="1" customWidth="1"/>
    <col min="11" max="11" width="24.81640625" bestFit="1" customWidth="1"/>
    <col min="12" max="12" width="24" customWidth="1"/>
  </cols>
  <sheetData>
    <row r="1" spans="1:11" ht="64.5" customHeight="1" x14ac:dyDescent="0.35">
      <c r="A1" s="6"/>
    </row>
    <row r="2" spans="1:11" x14ac:dyDescent="0.35">
      <c r="A2" s="4" t="s">
        <v>40</v>
      </c>
      <c r="B2" t="s">
        <v>104</v>
      </c>
      <c r="D2" s="4" t="s">
        <v>40</v>
      </c>
      <c r="E2" t="s">
        <v>104</v>
      </c>
      <c r="G2" s="4" t="s">
        <v>40</v>
      </c>
      <c r="H2" t="s">
        <v>105</v>
      </c>
      <c r="J2" s="4" t="s">
        <v>40</v>
      </c>
      <c r="K2" s="3" t="s">
        <v>107</v>
      </c>
    </row>
    <row r="3" spans="1:11" x14ac:dyDescent="0.35">
      <c r="A3" s="5" t="s">
        <v>73</v>
      </c>
      <c r="B3" s="7">
        <v>389</v>
      </c>
      <c r="D3" s="5" t="s">
        <v>73</v>
      </c>
      <c r="E3" s="7">
        <v>389</v>
      </c>
      <c r="G3" s="5" t="s">
        <v>73</v>
      </c>
      <c r="H3" s="3">
        <v>0.45779999999999998</v>
      </c>
      <c r="J3" s="5" t="s">
        <v>73</v>
      </c>
      <c r="K3" s="3">
        <v>0.23319999999999999</v>
      </c>
    </row>
    <row r="4" spans="1:11" x14ac:dyDescent="0.35">
      <c r="A4" s="5" t="s">
        <v>64</v>
      </c>
      <c r="B4" s="7">
        <v>374</v>
      </c>
      <c r="D4" s="5" t="s">
        <v>64</v>
      </c>
      <c r="E4" s="7">
        <v>374</v>
      </c>
      <c r="G4" s="5" t="s">
        <v>64</v>
      </c>
      <c r="H4" s="3">
        <v>0.43340000000000001</v>
      </c>
      <c r="J4" s="5" t="s">
        <v>64</v>
      </c>
      <c r="K4" s="3">
        <v>0.38400000000000001</v>
      </c>
    </row>
    <row r="5" spans="1:11" x14ac:dyDescent="0.35">
      <c r="A5" s="5" t="s">
        <v>60</v>
      </c>
      <c r="B5" s="7">
        <v>489</v>
      </c>
      <c r="D5" s="5" t="s">
        <v>60</v>
      </c>
      <c r="E5" s="7">
        <v>489</v>
      </c>
      <c r="G5" s="5" t="s">
        <v>60</v>
      </c>
      <c r="H5" s="3">
        <v>0.76900000000000002</v>
      </c>
      <c r="J5" s="5" t="s">
        <v>60</v>
      </c>
      <c r="K5" s="3">
        <v>0.31209999999999999</v>
      </c>
    </row>
    <row r="6" spans="1:11" x14ac:dyDescent="0.35">
      <c r="A6" s="5" t="s">
        <v>103</v>
      </c>
      <c r="B6" s="7">
        <v>1252</v>
      </c>
      <c r="D6" s="5" t="s">
        <v>103</v>
      </c>
      <c r="E6" s="7">
        <v>1252</v>
      </c>
      <c r="G6" s="5" t="s">
        <v>103</v>
      </c>
      <c r="H6" s="3">
        <v>1.6602000000000001</v>
      </c>
      <c r="J6" s="5" t="s">
        <v>103</v>
      </c>
      <c r="K6" s="3">
        <v>0.92930000000000001</v>
      </c>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5" r:id="rId8" name="Check Box 1">
              <controlPr defaultSize="0" autoFill="0" autoLine="0" autoPict="0">
                <anchor moveWithCells="1">
                  <from>
                    <xdr:col>0</xdr:col>
                    <xdr:colOff>1028700</xdr:colOff>
                    <xdr:row>0</xdr:row>
                    <xdr:rowOff>222250</xdr:rowOff>
                  </from>
                  <to>
                    <xdr:col>1</xdr:col>
                    <xdr:colOff>444500</xdr:colOff>
                    <xdr:row>0</xdr:row>
                    <xdr:rowOff>431800</xdr:rowOff>
                  </to>
                </anchor>
              </controlPr>
            </control>
          </mc:Choice>
        </mc:AlternateContent>
        <mc:AlternateContent xmlns:mc="http://schemas.openxmlformats.org/markup-compatibility/2006">
          <mc:Choice Requires="x14">
            <control shapeId="1026" r:id="rId9" name="Check Box 2">
              <controlPr defaultSize="0" autoFill="0" autoLine="0" autoPict="0">
                <anchor moveWithCells="1">
                  <from>
                    <xdr:col>0</xdr:col>
                    <xdr:colOff>260350</xdr:colOff>
                    <xdr:row>0</xdr:row>
                    <xdr:rowOff>209550</xdr:rowOff>
                  </from>
                  <to>
                    <xdr:col>1</xdr:col>
                    <xdr:colOff>228600</xdr:colOff>
                    <xdr:row>0</xdr:row>
                    <xdr:rowOff>584200</xdr:rowOff>
                  </to>
                </anchor>
              </controlPr>
            </control>
          </mc:Choice>
        </mc:AlternateContent>
        <mc:AlternateContent xmlns:mc="http://schemas.openxmlformats.org/markup-compatibility/2006">
          <mc:Choice Requires="x14">
            <control shapeId="1027" r:id="rId10" name="Check Box 3">
              <controlPr defaultSize="0" autoFill="0" autoLine="0" autoPict="0">
                <anchor moveWithCells="1">
                  <from>
                    <xdr:col>3</xdr:col>
                    <xdr:colOff>603250</xdr:colOff>
                    <xdr:row>0</xdr:row>
                    <xdr:rowOff>571500</xdr:rowOff>
                  </from>
                  <to>
                    <xdr:col>4</xdr:col>
                    <xdr:colOff>177800</xdr:colOff>
                    <xdr:row>0</xdr:row>
                    <xdr:rowOff>781050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ROW 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2026-01-08T07:28:39Z</dcterms:created>
  <dcterms:modified xsi:type="dcterms:W3CDTF">2026-01-12T18:53:50Z</dcterms:modified>
</cp:coreProperties>
</file>